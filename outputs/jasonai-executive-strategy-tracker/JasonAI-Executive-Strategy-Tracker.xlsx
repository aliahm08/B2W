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86dd79144a42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dd8bc4c0433043b5"/>
    <x:sheet xmlns:r="http://schemas.openxmlformats.org/officeDocument/2006/relationships" name="Roadmap" sheetId="2" r:id="Rc1bb4ce70a8b44e6"/>
    <x:sheet xmlns:r="http://schemas.openxmlformats.org/officeDocument/2006/relationships" name="KPI Tracker" sheetId="3" r:id="Rf53e737d93734e7e"/>
    <x:sheet xmlns:r="http://schemas.openxmlformats.org/officeDocument/2006/relationships" name="Task Tracker" sheetId="4" r:id="Rb13abe8c06754743"/>
    <x:sheet xmlns:r="http://schemas.openxmlformats.org/officeDocument/2006/relationships" name="Metric Log" sheetId="5" r:id="R86c5c8940e3646a0"/>
    <x:sheet xmlns:r="http://schemas.openxmlformats.org/officeDocument/2006/relationships" name="Meeting Actions" sheetId="6" r:id="R9baa378b9aec4028"/>
    <x:sheet xmlns:r="http://schemas.openxmlformats.org/officeDocument/2006/relationships" name="Meeting Cadence" sheetId="7" r:id="Ra8edea3dc3624acb"/>
    <x:sheet xmlns:r="http://schemas.openxmlformats.org/officeDocument/2006/relationships" name="Lists &amp; Guide" sheetId="8" r:id="R5b46ff790a3448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"/>
    <x:numFmt numFmtId="202" formatCode="mmm d, yyyy"/>
    <x:numFmt numFmtId="203" formatCode="0&quot; / 3&quot;"/>
  </x:numFmts>
  <x:fonts count="11">
    <x:font>
      <x:sz val="11"/>
      <x:name val="Carlito"/>
    </x:font>
    <x:font>
      <x:b/>
      <x:sz val="22"/>
      <x:color rgb="FFFFFFFF"/>
      <x:name val="Arial"/>
    </x:font>
    <x:font>
      <x:sz val="9"/>
      <x:color rgb="FFC8C8C8"/>
      <x:name val="Courier New"/>
    </x:font>
    <x:font>
      <x:sz val="8"/>
      <x:color rgb="FF666666"/>
      <x:name val="Courier New"/>
    </x:font>
    <x:font>
      <x:b/>
      <x:sz val="22"/>
      <x:color rgb="FF111111"/>
      <x:name val="Arial"/>
    </x:font>
    <x:font>
      <x:b/>
      <x:sz val="13"/>
      <x:color rgb="FF111111"/>
      <x:name val="Arial"/>
    </x:font>
    <x:font>
      <x:sz val="9"/>
      <x:color rgb="FF666666"/>
      <x:name val="Arial"/>
    </x:font>
    <x:font>
      <x:b/>
      <x:sz val="9"/>
      <x:color rgb="FFFFFFFF"/>
      <x:name val="Arial"/>
    </x:font>
    <x:font>
      <x:sz val="9"/>
      <x:color rgb="FF202020"/>
      <x:name val="Arial"/>
    </x:font>
    <x:font>
      <x:sz val="9"/>
      <x:color rgb="FFD4D4D4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F5F5F3"/>
      </x:patternFill>
    </x:fill>
    <x:fill>
      <x:patternFill patternType="solid">
        <x:fgColor rgb="FF252525"/>
      </x:patternFill>
    </x:fill>
  </x:fills>
  <x:borders count="15"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right style="thin">
        <x:color rgb="FF555555"/>
      </x:right>
    </x:border>
    <x:border>
      <x:left style="thin">
        <x:color rgb="FF555555"/>
      </x:left>
      <x:right style="thin">
        <x:color rgb="FF555555"/>
      </x:right>
    </x:border>
    <x:border>
      <x:left style="thin">
        <x:color rgb="FF555555"/>
      </x:left>
    </x:border>
    <x:border>
      <x:bottom style="thin">
        <x:color rgb="FFE6E6E6"/>
      </x:bottom>
    </x:border>
    <x:border>
      <x:top style="thin">
        <x:color rgb="FFE6E6E6"/>
      </x:top>
      <x:bottom style="thin">
        <x:color rgb="FFE6E6E6"/>
      </x:bottom>
    </x:border>
    <x:border>
      <x:top style="thin">
        <x:color rgb="FFE6E6E6"/>
      </x:top>
      <x:bottom style="thin">
        <x:color rgb="FFD9D9D9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/>
    <x:xf numFmtId="0" fontId="4" fillId="3" borderId="4" xfId="0" applyNumberFormat="1" applyFont="1" applyFill="1" applyBorder="1" applyAlignment="1">
      <x:alignment vertical="center"/>
    </x:xf>
    <x:xf numFmtId="200" fontId="4" fillId="3" borderId="4" xfId="0" applyNumberFormat="1" applyFont="1" applyFill="1" applyBorder="1" applyAlignment="1">
      <x:alignment vertical="center"/>
    </x:xf>
    <x:xf numFmtId="201" fontId="4" fillId="3" borderId="4" xfId="0" applyNumberFormat="1" applyFont="1" applyFill="1" applyBorder="1" applyAlignment="1">
      <x:alignment vertical="center"/>
    </x:xf>
    <x:xf numFmtId="201" fontId="0" fillId="3" borderId="0" xfId="0" applyNumberFormat="1" applyFont="1" applyFill="1" applyBorder="1"/>
    <x:xf numFmtId="201" fontId="0" fillId="3" borderId="5" xfId="0" applyNumberFormat="1" applyFont="1" applyFill="1" applyBorder="1"/>
    <x:xf numFmtId="0" fontId="3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2" xfId="0" applyNumberFormat="1" applyFont="1" applyFill="1" applyBorder="1"/>
    <x:xf numFmtId="0" fontId="6" fillId="3" borderId="3" xfId="0" applyNumberFormat="1" applyFont="1" applyFill="1" applyBorder="1"/>
    <x:xf numFmtId="0" fontId="6" fillId="3" borderId="6" xfId="0" applyNumberFormat="1" applyFont="1" applyFill="1" applyBorder="1"/>
    <x:xf numFmtId="0" fontId="6" fillId="3" borderId="7" xfId="0" applyNumberFormat="1" applyFont="1" applyFill="1" applyBorder="1"/>
    <x:xf numFmtId="0" fontId="6" fillId="3" borderId="8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wrapText="1"/>
    </x:xf>
    <x:xf numFmtId="0" fontId="6" fillId="3" borderId="6" xfId="0" applyNumberFormat="1" applyFont="1" applyFill="1" applyBorder="1" applyAlignment="1">
      <x:alignment wrapText="1"/>
    </x:xf>
    <x:xf numFmtId="0" fontId="6" fillId="3" borderId="7" xfId="0" applyNumberFormat="1" applyFont="1" applyFill="1" applyBorder="1" applyAlignment="1">
      <x:alignment wrapText="1"/>
    </x:xf>
    <x:xf numFmtId="0" fontId="6" fillId="3" borderId="8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1"/>
    </x:xf>
    <x:xf numFmtId="0" fontId="6" fillId="3" borderId="3" xfId="0" applyNumberFormat="1" applyFont="1" applyFill="1" applyBorder="1" applyAlignment="1">
      <x:alignment vertical="center" wrapText="1"/>
    </x:xf>
    <x:xf numFmtId="0" fontId="6" fillId="3" borderId="6" xfId="0" applyNumberFormat="1" applyFont="1" applyFill="1" applyBorder="1" applyAlignment="1">
      <x:alignment vertical="center" wrapText="1"/>
    </x:xf>
    <x:xf numFmtId="0" fontId="6" fillId="3" borderId="7" xfId="0" applyNumberFormat="1" applyFont="1" applyFill="1" applyBorder="1" applyAlignment="1">
      <x:alignment vertical="center" wrapText="1"/>
    </x:xf>
    <x:xf numFmtId="0" fontId="6" fillId="3" borderId="8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9" xfId="0" applyNumberFormat="1" applyFont="1" applyFill="1" applyBorder="1"/>
    <x:xf numFmtId="0" fontId="7" fillId="4" borderId="10" xfId="0" applyNumberFormat="1" applyFont="1" applyFill="1" applyBorder="1"/>
    <x:xf numFmtId="0" fontId="7" fillId="4" borderId="11" xfId="0" applyNumberFormat="1" applyFont="1" applyFill="1" applyBorder="1"/>
    <x:xf numFmtId="0" fontId="7" fillId="4" borderId="9" xfId="0" applyNumberFormat="1" applyFont="1" applyFill="1" applyBorder="1" applyAlignment="1">
      <x:alignment wrapText="1"/>
    </x:xf>
    <x:xf numFmtId="0" fontId="7" fillId="4" borderId="10" xfId="0" applyNumberFormat="1" applyFont="1" applyFill="1" applyBorder="1" applyAlignment="1">
      <x:alignment wrapText="1"/>
    </x:xf>
    <x:xf numFmtId="0" fontId="7" fillId="4" borderId="11" xfId="0" applyNumberFormat="1" applyFont="1" applyFill="1" applyBorder="1" applyAlignment="1">
      <x:alignment wrapText="1"/>
    </x:xf>
    <x:xf numFmtId="0" fontId="7" fillId="4" borderId="9" xfId="0" applyNumberFormat="1" applyFont="1" applyFill="1" applyBorder="1" applyAlignment="1">
      <x:alignment vertical="center" wrapText="1"/>
    </x:xf>
    <x:xf numFmtId="0" fontId="7" fillId="4" borderId="10" xfId="0" applyNumberFormat="1" applyFont="1" applyFill="1" applyBorder="1" applyAlignment="1">
      <x:alignment vertical="center" wrapText="1"/>
    </x:xf>
    <x:xf numFmtId="0" fontId="7" fillId="4" borderId="1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12" xfId="0" applyNumberFormat="1" applyFont="1" applyFill="1" applyBorder="1"/>
    <x:xf numFmtId="0" fontId="8" fillId="0" borderId="13" xfId="0" applyNumberFormat="1" applyFont="1" applyFill="1" applyBorder="1"/>
    <x:xf numFmtId="0" fontId="8" fillId="0" borderId="14" xfId="0" applyNumberFormat="1" applyFont="1" applyFill="1" applyBorder="1"/>
    <x:xf numFmtId="0" fontId="8" fillId="0" borderId="12" xfId="0" applyNumberFormat="1" applyFont="1" applyFill="1" applyBorder="1" applyAlignment="1">
      <x:alignment wrapText="1"/>
    </x:xf>
    <x:xf numFmtId="0" fontId="8" fillId="0" borderId="13" xfId="0" applyNumberFormat="1" applyFont="1" applyFill="1" applyBorder="1" applyAlignment="1">
      <x:alignment wrapText="1"/>
    </x:xf>
    <x:xf numFmtId="0" fontId="8" fillId="0" borderId="14" xfId="0" applyNumberFormat="1" applyFont="1" applyFill="1" applyBorder="1" applyAlignment="1">
      <x:alignment wrapText="1"/>
    </x:xf>
    <x:xf numFmtId="0" fontId="8" fillId="0" borderId="12" xfId="0" applyNumberFormat="1" applyFont="1" applyFill="1" applyBorder="1" applyAlignment="1">
      <x:alignment vertical="top" wrapText="1"/>
    </x:xf>
    <x:xf numFmtId="0" fontId="8" fillId="0" borderId="13" xfId="0" applyNumberFormat="1" applyFont="1" applyFill="1" applyBorder="1" applyAlignment="1">
      <x:alignment vertical="top" wrapText="1"/>
    </x:xf>
    <x:xf numFmtId="0" fontId="8" fillId="0" borderId="14" xfId="0" applyNumberFormat="1" applyFont="1" applyFill="1" applyBorder="1" applyAlignment="1">
      <x:alignment vertical="top" wrapText="1"/>
    </x:xf>
    <x:xf numFmtId="200" fontId="8" fillId="0" borderId="12" xfId="0" applyNumberFormat="1" applyFont="1" applyFill="1" applyBorder="1" applyAlignment="1">
      <x:alignment vertical="top" wrapText="1"/>
    </x:xf>
    <x:xf numFmtId="200" fontId="8" fillId="0" borderId="13" xfId="0" applyNumberFormat="1" applyFont="1" applyFill="1" applyBorder="1" applyAlignment="1">
      <x:alignment vertical="top" wrapText="1"/>
    </x:xf>
    <x:xf numFmtId="200" fontId="8" fillId="0" borderId="14" xfId="0" applyNumberFormat="1" applyFont="1" applyFill="1" applyBorder="1" applyAlignment="1">
      <x:alignment vertical="top" wrapText="1"/>
    </x:xf>
    <x:xf numFmtId="201" fontId="8" fillId="0" borderId="12" xfId="0" applyNumberFormat="1" applyFont="1" applyFill="1" applyBorder="1" applyAlignment="1">
      <x:alignment vertical="top" wrapText="1"/>
    </x:xf>
    <x:xf numFmtId="201" fontId="8" fillId="0" borderId="13" xfId="0" applyNumberFormat="1" applyFont="1" applyFill="1" applyBorder="1" applyAlignment="1">
      <x:alignment vertical="top" wrapText="1"/>
    </x:xf>
    <x:xf numFmtId="201" fontId="8" fillId="0" borderId="14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vertical="center" wrapText="1"/>
    </x:xf>
    <x:xf numFmtId="202" fontId="8" fillId="0" borderId="12" xfId="0" applyNumberFormat="1" applyFont="1" applyFill="1" applyBorder="1" applyAlignment="1">
      <x:alignment vertical="top" wrapText="1"/>
    </x:xf>
    <x:xf numFmtId="202" fontId="8" fillId="0" borderId="13" xfId="0" applyNumberFormat="1" applyFont="1" applyFill="1" applyBorder="1" applyAlignment="1">
      <x:alignment vertical="top" wrapText="1"/>
    </x:xf>
    <x:xf numFmtId="202" fontId="8" fillId="0" borderId="14" xfId="0" applyNumberFormat="1" applyFont="1" applyFill="1" applyBorder="1" applyAlignment="1">
      <x:alignment vertical="top" wrapText="1"/>
    </x:xf>
    <x:xf numFmtId="203" fontId="8" fillId="0" borderId="12" xfId="0" applyNumberFormat="1" applyFont="1" applyFill="1" applyBorder="1" applyAlignment="1">
      <x:alignment vertical="top" wrapText="1"/>
    </x:xf>
    <x:xf numFmtId="203" fontId="8" fillId="0" borderId="13" xfId="0" applyNumberFormat="1" applyFont="1" applyFill="1" applyBorder="1" applyAlignment="1">
      <x:alignment vertical="top" wrapText="1"/>
    </x:xf>
    <x:xf numFmtId="203" fontId="8" fillId="0" borderId="14" xfId="0" applyNumberFormat="1" applyFont="1" applyFill="1" applyBorder="1" applyAlignment="1">
      <x:alignment vertical="top" wrapText="1"/>
    </x:xf>
    <x:xf numFmtId="0" fontId="10" fillId="4" borderId="0" xfId="0" applyNumberFormat="1" applyFont="1" applyFill="1" applyBorder="1"/>
  </x:cellXfs>
  <x:cellStyles count="1">
    <x:cellStyle name="Normal" xfId="0"/>
  </x:cellStyles>
  <x:dxfs count="33">
    <x:dxf>
      <x:font>
        <x:b/>
        <x:color rgb="FF6B5744"/>
      </x:font>
      <x:fill>
        <x:patternFill patternType="solid">
          <x:bgColor rgb="FFF0ECE6"/>
        </x:patternFill>
      </x:fill>
    </x:dxf>
    <x:dxf>
      <x:font>
        <x:b/>
        <x:color rgb="FF4E5D67"/>
      </x:font>
      <x:fill>
        <x:patternFill patternType="solid">
          <x:bgColor rgb="FFE9EDF0"/>
        </x:patternFill>
      </x:fill>
    </x:dxf>
    <x:dxf>
      <x:font>
        <x:b/>
        <x:color rgb="FF526157"/>
      </x:font>
      <x:fill>
        <x:patternFill patternType="solid">
          <x:bgColor rgb="FFE9EEE9"/>
        </x:patternFill>
      </x:fill>
    </x:dxf>
    <x:dxf>
      <x:font>
        <x:b/>
        <x:color rgb="FF8A5A24"/>
      </x:font>
      <x:fill>
        <x:patternFill patternType="solid">
          <x:bgColor rgb="FFF7EFE2"/>
        </x:patternFill>
      </x:fill>
    </x:dxf>
    <x:dxf>
      <x:font>
        <x:b/>
        <x:color rgb="FF526157"/>
      </x:font>
      <x:fill>
        <x:patternFill patternType="solid">
          <x:bgColor rgb="FFE9EEE9"/>
        </x:patternFill>
      </x:fill>
    </x:dxf>
    <x:dxf>
      <x:font>
        <x:b/>
        <x:color rgb="FF6B5744"/>
      </x:font>
      <x:fill>
        <x:patternFill patternType="solid">
          <x:bgColor rgb="FFF0ECE6"/>
        </x:patternFill>
      </x:fill>
    </x:dxf>
    <x:dxf>
      <x:font>
        <x:b/>
        <x:color rgb="FF4E5D67"/>
      </x:font>
      <x:fill>
        <x:patternFill patternType="solid">
          <x:bgColor rgb="FFE9EDF0"/>
        </x:patternFill>
      </x:fill>
    </x:dxf>
    <x:dxf>
      <x:font>
        <x:b/>
        <x:color rgb="FF526157"/>
      </x:font>
      <x:fill>
        <x:patternFill patternType="solid">
          <x:bgColor rgb="FFE9EEE9"/>
        </x:patternFill>
      </x:fill>
    </x:dxf>
    <x:dxf>
      <x:font>
        <x:b/>
        <x:color rgb="FF526157"/>
      </x:font>
      <x:fill>
        <x:patternFill patternType="solid">
          <x:bgColor rgb="FFE9EEE9"/>
        </x:patternFill>
      </x:fill>
    </x:dxf>
    <x:dxf>
      <x:font>
        <x:b/>
        <x:color rgb="FF944A42"/>
      </x:font>
      <x:fill>
        <x:patternFill patternType="solid">
          <x:bgColor rgb="FFF7E8E6"/>
        </x:patternFill>
      </x:fill>
    </x:dxf>
    <x:dxf>
      <x:font>
        <x:b/>
        <x:color rgb="FF526157"/>
      </x:font>
      <x:fill>
        <x:patternFill patternType="solid">
          <x:bgColor rgb="FFE9EEE9"/>
        </x:patternFill>
      </x:fill>
    </x:dxf>
    <x:dxf>
      <x:font>
        <x:b/>
        <x:color rgb="FF6B5744"/>
      </x:font>
      <x:fill>
        <x:patternFill patternType="solid">
          <x:bgColor rgb="FFF0ECE6"/>
        </x:patternFill>
      </x:fill>
    </x:dxf>
    <x:dxf>
      <x:font>
        <x:b/>
        <x:color rgb="FF4E5D67"/>
      </x:font>
      <x:fill>
        <x:patternFill patternType="solid">
          <x:bgColor rgb="FFE9EDF0"/>
        </x:patternFill>
      </x:fill>
    </x:dxf>
    <x:dxf>
      <x:font>
        <x:b/>
        <x:color rgb="FF526157"/>
      </x:font>
      <x:fill>
        <x:patternFill patternType="solid">
          <x:bgColor rgb="FFE9EEE9"/>
        </x:patternFill>
      </x:fill>
    </x:dxf>
    <x:dxf>
      <x:font>
        <x:b/>
        <x:color rgb="FF526157"/>
      </x:font>
      <x:fill>
        <x:patternFill patternType="solid">
          <x:bgColor rgb="FFE9EEE9"/>
        </x:patternFill>
      </x:fill>
    </x:dxf>
    <x:dxf>
      <x:font>
        <x:b/>
        <x:color rgb="FF4E5D67"/>
      </x:font>
      <x:fill>
        <x:patternFill patternType="solid">
          <x:bgColor rgb="FFE9EDF0"/>
        </x:patternFill>
      </x:fill>
    </x:dxf>
    <x:dxf>
      <x:font>
        <x:b/>
        <x:color rgb="FF944A42"/>
      </x:font>
      <x:fill>
        <x:patternFill patternType="solid">
          <x:bgColor rgb="FFF7E8E6"/>
        </x:patternFill>
      </x:fill>
    </x:dxf>
    <x:dxf>
      <x:font>
        <x:b/>
        <x:color rgb="FF6B5744"/>
      </x:font>
      <x:fill>
        <x:patternFill patternType="solid">
          <x:bgColor rgb="FFF0ECE6"/>
        </x:patternFill>
      </x:fill>
    </x:dxf>
    <x:dxf>
      <x:font>
        <x:b/>
        <x:color rgb="FF4E5D67"/>
      </x:font>
      <x:fill>
        <x:patternFill patternType="solid">
          <x:bgColor rgb="FFE9EDF0"/>
        </x:patternFill>
      </x:fill>
    </x:dxf>
    <x:dxf>
      <x:font>
        <x:b/>
        <x:color rgb="FF526157"/>
      </x:font>
      <x:fill>
        <x:patternFill patternType="solid">
          <x:bgColor rgb="FFE9EEE9"/>
        </x:patternFill>
      </x:fill>
    </x:dxf>
    <x:dxf>
      <x:font>
        <x:b/>
        <x:color rgb="FF526157"/>
      </x:font>
      <x:fill>
        <x:patternFill patternType="solid">
          <x:bgColor rgb="FFE9EEE9"/>
        </x:patternFill>
      </x:fill>
    </x:dxf>
    <x:dxf>
      <x:font>
        <x:b/>
        <x:color rgb="FF4E5D67"/>
      </x:font>
      <x:fill>
        <x:patternFill patternType="solid">
          <x:bgColor rgb="FFE9EDF0"/>
        </x:patternFill>
      </x:fill>
    </x:dxf>
    <x:dxf>
      <x:font>
        <x:b/>
        <x:color rgb="FF944A42"/>
      </x:font>
      <x:fill>
        <x:patternFill patternType="solid">
          <x:bgColor rgb="FFF7E8E6"/>
        </x:patternFill>
      </x:fill>
    </x:dxf>
    <x:dxf>
      <x:font>
        <x:b/>
        <x:color rgb="FF6B5744"/>
      </x:font>
      <x:fill>
        <x:patternFill patternType="solid">
          <x:bgColor rgb="FFF0ECE6"/>
        </x:patternFill>
      </x:fill>
    </x:dxf>
    <x:dxf>
      <x:font>
        <x:b/>
        <x:color rgb="FF4E5D67"/>
      </x:font>
      <x:fill>
        <x:patternFill patternType="solid">
          <x:bgColor rgb="FFE9EDF0"/>
        </x:patternFill>
      </x:fill>
    </x:dxf>
    <x:dxf>
      <x:font>
        <x:b/>
        <x:color rgb="FF526157"/>
      </x:font>
      <x:fill>
        <x:patternFill patternType="solid">
          <x:bgColor rgb="FFE9EEE9"/>
        </x:patternFill>
      </x:fill>
    </x:dxf>
    <x:dxf>
      <x:font>
        <x:b/>
        <x:color rgb="FF944A42"/>
      </x:font>
      <x:fill>
        <x:patternFill patternType="solid">
          <x:bgColor rgb="FFF7E8E6"/>
        </x:patternFill>
      </x:fill>
    </x:dxf>
    <x:dxf>
      <x:font>
        <x:b/>
        <x:color rgb="FF526157"/>
      </x:font>
      <x:fill>
        <x:patternFill patternType="solid">
          <x:bgColor rgb="FFE9EEE9"/>
        </x:patternFill>
      </x:fill>
    </x:dxf>
    <x:dxf>
      <x:font>
        <x:b/>
        <x:color rgb="FF4E5D67"/>
      </x:font>
      <x:fill>
        <x:patternFill patternType="solid">
          <x:bgColor rgb="FFE9EDF0"/>
        </x:patternFill>
      </x:fill>
    </x:dxf>
    <x:dxf>
      <x:font>
        <x:b/>
        <x:color rgb="FF944A42"/>
      </x:font>
      <x:fill>
        <x:patternFill patternType="solid">
          <x:bgColor rgb="FFF7E8E6"/>
        </x:patternFill>
      </x:fill>
    </x:dxf>
    <x:dxf>
      <x:font>
        <x:b/>
        <x:color rgb="FF6B5744"/>
      </x:font>
      <x:fill>
        <x:patternFill patternType="solid">
          <x:bgColor rgb="FFF0ECE6"/>
        </x:patternFill>
      </x:fill>
    </x:dxf>
    <x:dxf>
      <x:font>
        <x:b/>
        <x:color rgb="FF4E5D67"/>
      </x:font>
      <x:fill>
        <x:patternFill patternType="solid">
          <x:bgColor rgb="FFE9EDF0"/>
        </x:patternFill>
      </x:fill>
    </x:dxf>
    <x:dxf>
      <x:font>
        <x:b/>
        <x:color rgb="FF526157"/>
      </x:font>
      <x:fill>
        <x:patternFill patternType="solid">
          <x:bgColor rgb="FFE9EE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3b693a1e194dea" /><Relationship Type="http://schemas.openxmlformats.org/officeDocument/2006/relationships/theme" Target="/xl/theme/theme1.xml" Id="R03994f17723c456e" /><Relationship Type="http://schemas.openxmlformats.org/officeDocument/2006/relationships/sharedStrings" Target="/xl/sharedStrings.xml" Id="Rcc3ebb929df94223" /><Relationship Type="http://schemas.openxmlformats.org/officeDocument/2006/relationships/worksheet" Target="/xl/worksheets/sheet1.xml" Id="Rdd8bc4c0433043b5" /><Relationship Type="http://schemas.openxmlformats.org/officeDocument/2006/relationships/worksheet" Target="/xl/worksheets/sheet2.xml" Id="Rc1bb4ce70a8b44e6" /><Relationship Type="http://schemas.openxmlformats.org/officeDocument/2006/relationships/worksheet" Target="/xl/worksheets/sheet3.xml" Id="Rf53e737d93734e7e" /><Relationship Type="http://schemas.openxmlformats.org/officeDocument/2006/relationships/worksheet" Target="/xl/worksheets/sheet4.xml" Id="Rb13abe8c06754743" /><Relationship Type="http://schemas.openxmlformats.org/officeDocument/2006/relationships/worksheet" Target="/xl/worksheets/sheet5.xml" Id="R86c5c8940e3646a0" /><Relationship Type="http://schemas.openxmlformats.org/officeDocument/2006/relationships/worksheet" Target="/xl/worksheets/sheet6.xml" Id="R9baa378b9aec4028" /><Relationship Type="http://schemas.openxmlformats.org/officeDocument/2006/relationships/worksheet" Target="/xl/worksheets/sheet7.xml" Id="Ra8edea3dc3624acb" /><Relationship Type="http://schemas.openxmlformats.org/officeDocument/2006/relationships/worksheet" Target="/xl/worksheets/sheet8.xml" Id="R5b46ff790a34485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e412d45deb648b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Execution by Phase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Execution</c:v>
          </c:tx>
          <c:cat>
            <c:strRef>
              <c:f>'Executive Dashboard'!$A$13:$A$17</c:f>
              <c:strCache>
                <c:ptCount val="0"/>
              </c:strCache>
            </c:strRef>
          </c:cat>
          <c:val>
            <c:numRef>
              <c:f>'Executive Dashboard'!$B$13:$B$17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11</xdr:row>
      <xdr:rowOff>0</xdr:rowOff>
    </xdr:from>
    <xdr:to>
      <xdr:col>13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412d45deb648b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oadmapTable" displayName="RoadmapTable" ref="A5:J10" headerRowCount="1" totalsRowCount="0" totalsRowShown="0">
  <x:tableColumns count="10">
    <x:tableColumn id="1" name="Phase #"/>
    <x:tableColumn id="2" name="Phase"/>
    <x:tableColumn id="3" name="Start"/>
    <x:tableColumn id="4" name="End"/>
    <x:tableColumn id="5" name="Curve Position"/>
    <x:tableColumn id="6" name="Objective"/>
    <x:tableColumn id="7" name="KPI Gates Met"/>
    <x:tableColumn id="8" name="Execution"/>
    <x:tableColumn id="9" name="Date Position"/>
    <x:tableColumn id="10" name="Advance Readiness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KpiTrackerTable" displayName="KpiTrackerTable" ref="A5:O20" headerRowCount="1" totalsRowCount="0" totalsRowShown="0">
  <x:tableColumns count="15">
    <x:tableColumn id="1" name="Phase"/>
    <x:tableColumn id="2" name="Period"/>
    <x:tableColumn id="3" name="KPI Type"/>
    <x:tableColumn id="4" name="KPI"/>
    <x:tableColumn id="5" name="Owner"/>
    <x:tableColumn id="6" name="Minimum Gate"/>
    <x:tableColumn id="7" name="Goal"/>
    <x:tableColumn id="8" name="Current Result"/>
    <x:tableColumn id="9" name="Gate Status"/>
    <x:tableColumn id="10" name="Goal Status"/>
    <x:tableColumn id="11" name="Tasks Complete"/>
    <x:tableColumn id="12" name="Total Tasks"/>
    <x:tableColumn id="13" name="Task Summary"/>
    <x:tableColumn id="14" name="Execution %"/>
    <x:tableColumn id="15" name="Next Review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askTrackerTable" displayName="TaskTrackerTable" ref="A5:R65" headerRowCount="1" totalsRowCount="0" totalsRowShown="0">
  <x:tableColumns count="18">
    <x:tableColumn id="1" name="Task ID"/>
    <x:tableColumn id="2" name="Phase"/>
    <x:tableColumn id="3" name="Period"/>
    <x:tableColumn id="4" name="KPI Type"/>
    <x:tableColumn id="5" name="KPI"/>
    <x:tableColumn id="6" name="Owner"/>
    <x:tableColumn id="7" name="Task"/>
    <x:tableColumn id="8" name="Status"/>
    <x:tableColumn id="9" name="Due Date"/>
    <x:tableColumn id="10" name="Quantity"/>
    <x:tableColumn id="11" name="Unit"/>
    <x:tableColumn id="12" name="Reported Result"/>
    <x:tableColumn id="13" name="Evidence / Link"/>
    <x:tableColumn id="14" name="Tracked Metrics"/>
    <x:tableColumn id="15" name="Priority"/>
    <x:tableColumn id="16" name="Notes"/>
    <x:tableColumn id="17" name="Completion %"/>
    <x:tableColumn id="18" name="Last Updated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MetricLogTable" displayName="MetricLogTable" ref="A5:P65" headerRowCount="1" totalsRowCount="0" totalsRowShown="0">
  <x:tableColumns count="16">
    <x:tableColumn id="1" name="Metric ID"/>
    <x:tableColumn id="2" name="Phase"/>
    <x:tableColumn id="3" name="KPI Type"/>
    <x:tableColumn id="4" name="KPI"/>
    <x:tableColumn id="5" name="Owner"/>
    <x:tableColumn id="6" name="Metric"/>
    <x:tableColumn id="7" name="Frequency"/>
    <x:tableColumn id="8" name="Direction"/>
    <x:tableColumn id="9" name="Unit"/>
    <x:tableColumn id="10" name="Baseline"/>
    <x:tableColumn id="11" name="Current Value"/>
    <x:tableColumn id="12" name="Minimum Gate"/>
    <x:tableColumn id="13" name="Goal"/>
    <x:tableColumn id="14" name="Last Updated"/>
    <x:tableColumn id="15" name="Source / Evidence"/>
    <x:tableColumn id="16" name="Notes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MeetingActionsTable" displayName="MeetingActionsTable" ref="A5:M45" headerRowCount="1" totalsRowCount="0" totalsRowShown="0">
  <x:tableColumns count="13">
    <x:tableColumn id="1" name="Meeting Date"/>
    <x:tableColumn id="2" name="Meeting"/>
    <x:tableColumn id="3" name="Type"/>
    <x:tableColumn id="4" name="Decision / Action"/>
    <x:tableColumn id="5" name="Owner"/>
    <x:tableColumn id="6" name="Due Date"/>
    <x:tableColumn id="7" name="Status"/>
    <x:tableColumn id="8" name="Phase"/>
    <x:tableColumn id="9" name="KPI Type"/>
    <x:tableColumn id="10" name="Success Measure"/>
    <x:tableColumn id="11" name="Evidence / Link"/>
    <x:tableColumn id="12" name="Escalation"/>
    <x:tableColumn id="13" name="Note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0641e83ee1c41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ae70b4d28945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63c54571ca40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24af48979545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70099f7a4b4d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d4307f9e73f4a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3" hidden="0" customWidth="1"/>
    <x:col min="3" max="3" width="15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 ht="34" customHeight="1">
      <x:c r="A1" s="3" t="str">
        <x:v>JasonAI Executive Strategy Tracker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2" customHeight="1">
      <x:c r="A2" s="5" t="str">
        <x:v>24-MONTH OPERATING SYSTEM  |  SMB GENERAL CONTRACTORS  |  WHATSAPP AI ASSISTANT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4">
      <x:c r="A4" s="16" t="str">
        <x:v>Overall execution</x:v>
      </x:c>
      <x:c r="B4" s="8"/>
      <x:c r="C4" s="9"/>
      <x:c r="D4" s="16" t="str">
        <x:v>Completed tasks</x:v>
      </x:c>
      <x:c r="E4" s="8"/>
      <x:c r="F4" s="9"/>
      <x:c r="G4" s="16" t="str">
        <x:v>KPI gates met</x:v>
      </x:c>
      <x:c r="H4" s="8"/>
      <x:c r="I4" s="9"/>
      <x:c r="J4" s="16" t="str">
        <x:v>Overdue tasks</x:v>
      </x:c>
      <x:c r="K4" s="8"/>
      <x:c r="L4" s="8"/>
      <x:c r="M4" s="9"/>
    </x:row>
    <x:row r="5">
      <x:c r="A5" s="19" t="n">
        <x:f>IFERROR(AVERAGE('Roadmap'!$H$6:$H$10),0)</x:f>
        <x:v>0</x:v>
      </x:c>
      <x:c r="B5" s="6"/>
      <x:c r="C5" s="11"/>
      <x:c r="D5" s="20" t="n">
        <x:f>COUNTIF('Task Tracker'!$H$6:$H$65,"Completed")</x:f>
        <x:v>0</x:v>
      </x:c>
      <x:c r="E5" s="21"/>
      <x:c r="F5" s="22"/>
      <x:c r="G5" s="20" t="n">
        <x:f>COUNTIF('KPI Tracker'!$I$6:$I$20,"Gate Met")</x:f>
        <x:v>0</x:v>
      </x:c>
      <x:c r="H5" s="21"/>
      <x:c r="I5" s="22"/>
      <x:c r="J5" s="20" t="n">
        <x:f>COUNTIFS('Task Tracker'!$I$6:$I$65,"&gt;0",'Task Tracker'!$I$6:$I$65,"&lt;"&amp;TODAY(),'Task Tracker'!$H$6:$H$65,"&lt;&gt;Completed")</x:f>
        <x:v>0</x:v>
      </x:c>
      <x:c r="K5" s="6"/>
      <x:c r="L5" s="6"/>
      <x:c r="M5" s="11"/>
    </x:row>
    <x:row r="6">
      <x:c r="A6" s="12"/>
      <x:c r="B6" s="13"/>
      <x:c r="C6" s="14"/>
      <x:c r="D6" s="12"/>
      <x:c r="E6" s="13"/>
      <x:c r="F6" s="14"/>
      <x:c r="G6" s="12"/>
      <x:c r="H6" s="13"/>
      <x:c r="I6" s="14"/>
      <x:c r="J6" s="12"/>
      <x:c r="K6" s="13"/>
      <x:c r="L6" s="13"/>
      <x:c r="M6" s="14"/>
    </x:row>
    <x:row r="8">
      <x:c r="A8" s="23" t="str">
        <x:v>Current operating position</x:v>
      </x:c>
      <x:c r="B8" s="23"/>
      <x:c r="C8" s="24" t="str">
        <x:f>IF(COUNTIF('Roadmap'!$I$6:$I$10,"Current")=0,IF(TODAY()&lt;'Roadmap'!$C$6,"Pre-start","Complete"),INDEX('Roadmap'!$B$6:$B$10,MATCH("Current",'Roadmap'!$I$6:$I$10,0)))</x:f>
        <x:v>Pre-start</x:v>
      </x:c>
      <x:c r="D8" s="24"/>
      <x:c r="E8" s="24"/>
      <x:c r="F8" s="24"/>
      <x:c r="H8" s="38" t="str">
        <x:v>Update task status, quantity, outcomes, and evidence in Task Tracker. Update gate and goal status in KPI Tracker. All dashboard results roll up automatically.</x:v>
      </x:c>
      <x:c r="I8" s="39"/>
      <x:c r="J8" s="39"/>
      <x:c r="K8" s="39"/>
      <x:c r="L8" s="39"/>
      <x:c r="M8" s="40"/>
    </x:row>
    <x:row r="9">
      <x:c r="H9" s="41"/>
      <x:c r="I9" s="42"/>
      <x:c r="J9" s="42"/>
      <x:c r="K9" s="42"/>
      <x:c r="L9" s="42"/>
      <x:c r="M9" s="43"/>
    </x:row>
    <x:row r="12" ht="30" customHeight="1">
      <x:c r="A12" s="52" t="str">
        <x:v>Phase</x:v>
      </x:c>
      <x:c r="B12" s="53" t="str">
        <x:v>Execution</x:v>
      </x:c>
      <x:c r="C12" s="53" t="str">
        <x:v>Gates Met</x:v>
      </x:c>
      <x:c r="D12" s="53" t="str">
        <x:v>Goals Met</x:v>
      </x:c>
      <x:c r="E12" s="54" t="str">
        <x:v>Position</x:v>
      </x:c>
    </x:row>
    <x:row r="13">
      <x:c r="A13" s="62" t="str">
        <x:f>'Roadmap'!B6</x:f>
        <x:v>Foundation</x:v>
      </x:c>
      <x:c r="B13" s="65" t="n">
        <x:f>'Roadmap'!H6</x:f>
        <x:v>0</x:v>
      </x:c>
      <x:c r="C13" s="68" t="n">
        <x:f>COUNTIFS('KPI Tracker'!$A$6:$A$20,A13,'KPI Tracker'!$I$6:$I$20,"Gate Met")</x:f>
        <x:v>0</x:v>
      </x:c>
      <x:c r="D13" s="68" t="n">
        <x:f>COUNTIFS('KPI Tracker'!$A$6:$A$20,A13,'KPI Tracker'!$J$6:$J$20,"Goal Met")</x:f>
        <x:v>0</x:v>
      </x:c>
      <x:c r="E13" s="62" t="str">
        <x:f>'Roadmap'!I6</x:f>
        <x:v>Upcoming</x:v>
      </x:c>
    </x:row>
    <x:row r="14">
      <x:c r="A14" s="63" t="str">
        <x:f>'Roadmap'!B7</x:f>
        <x:v>Validation</x:v>
      </x:c>
      <x:c r="B14" s="66" t="n">
        <x:f>'Roadmap'!H7</x:f>
        <x:v>0</x:v>
      </x:c>
      <x:c r="C14" s="69" t="n">
        <x:f>COUNTIFS('KPI Tracker'!$A$6:$A$20,A14,'KPI Tracker'!$I$6:$I$20,"Gate Met")</x:f>
        <x:v>0</x:v>
      </x:c>
      <x:c r="D14" s="69" t="n">
        <x:f>COUNTIFS('KPI Tracker'!$A$6:$A$20,A14,'KPI Tracker'!$J$6:$J$20,"Goal Met")</x:f>
        <x:v>0</x:v>
      </x:c>
      <x:c r="E14" s="63" t="str">
        <x:f>'Roadmap'!I7</x:f>
        <x:v>Upcoming</x:v>
      </x:c>
    </x:row>
    <x:row r="15">
      <x:c r="A15" s="63" t="str">
        <x:f>'Roadmap'!B8</x:f>
        <x:v>Inflection</x:v>
      </x:c>
      <x:c r="B15" s="66" t="n">
        <x:f>'Roadmap'!H8</x:f>
        <x:v>0</x:v>
      </x:c>
      <x:c r="C15" s="69" t="n">
        <x:f>COUNTIFS('KPI Tracker'!$A$6:$A$20,A15,'KPI Tracker'!$I$6:$I$20,"Gate Met")</x:f>
        <x:v>0</x:v>
      </x:c>
      <x:c r="D15" s="69" t="n">
        <x:f>COUNTIFS('KPI Tracker'!$A$6:$A$20,A15,'KPI Tracker'!$J$6:$J$20,"Goal Met")</x:f>
        <x:v>0</x:v>
      </x:c>
      <x:c r="E15" s="63" t="str">
        <x:f>'Roadmap'!I8</x:f>
        <x:v>Upcoming</x:v>
      </x:c>
    </x:row>
    <x:row r="16">
      <x:c r="A16" s="63" t="str">
        <x:f>'Roadmap'!B9</x:f>
        <x:v>Scale</x:v>
      </x:c>
      <x:c r="B16" s="66" t="n">
        <x:f>'Roadmap'!H9</x:f>
        <x:v>0</x:v>
      </x:c>
      <x:c r="C16" s="69" t="n">
        <x:f>COUNTIFS('KPI Tracker'!$A$6:$A$20,A16,'KPI Tracker'!$I$6:$I$20,"Gate Met")</x:f>
        <x:v>0</x:v>
      </x:c>
      <x:c r="D16" s="69" t="n">
        <x:f>COUNTIFS('KPI Tracker'!$A$6:$A$20,A16,'KPI Tracker'!$J$6:$J$20,"Goal Met")</x:f>
        <x:v>0</x:v>
      </x:c>
      <x:c r="E16" s="63" t="str">
        <x:f>'Roadmap'!I9</x:f>
        <x:v>Upcoming</x:v>
      </x:c>
    </x:row>
    <x:row r="17">
      <x:c r="A17" s="64" t="str">
        <x:f>'Roadmap'!B10</x:f>
        <x:v>Platform</x:v>
      </x:c>
      <x:c r="B17" s="67" t="n">
        <x:f>'Roadmap'!H10</x:f>
        <x:v>0</x:v>
      </x:c>
      <x:c r="C17" s="70" t="n">
        <x:f>COUNTIFS('KPI Tracker'!$A$6:$A$20,A17,'KPI Tracker'!$I$6:$I$20,"Gate Met")</x:f>
        <x:v>0</x:v>
      </x:c>
      <x:c r="D17" s="70" t="n">
        <x:f>COUNTIFS('KPI Tracker'!$A$6:$A$20,A17,'KPI Tracker'!$J$6:$J$20,"Goal Met")</x:f>
        <x:v>0</x:v>
      </x:c>
      <x:c r="E17" s="64" t="str">
        <x:f>'Roadmap'!I10</x:f>
        <x:v>Upcoming</x:v>
      </x:c>
    </x:row>
    <x:row r="21" ht="30" customHeight="1">
      <x:c r="A21" s="52" t="str">
        <x:v>KPI Type</x:v>
      </x:c>
      <x:c r="B21" s="53" t="str">
        <x:v>Execution</x:v>
      </x:c>
      <x:c r="C21" s="53" t="str">
        <x:v>Gates Met</x:v>
      </x:c>
      <x:c r="D21" s="54" t="str">
        <x:v>Goals Met</x:v>
      </x:c>
    </x:row>
    <x:row r="22">
      <x:c r="A22" s="62" t="str">
        <x:v>PRICING</x:v>
      </x:c>
      <x:c r="B22" s="65" t="n">
        <x:f>IFERROR(AVERAGEIF('KPI Tracker'!$C$6:$C$20,A22,'KPI Tracker'!$N$6:$N$20),0)</x:f>
        <x:v>0</x:v>
      </x:c>
      <x:c r="C22" s="62" t="n">
        <x:f>COUNTIFS('KPI Tracker'!$C$6:$C$20,A22,'KPI Tracker'!$I$6:$I$20,"Gate Met")</x:f>
        <x:v>0</x:v>
      </x:c>
      <x:c r="D22" s="62" t="n">
        <x:f>COUNTIFS('KPI Tracker'!$C$6:$C$20,A22,'KPI Tracker'!$J$6:$J$20,"Goal Met")</x:f>
        <x:v>0</x:v>
      </x:c>
    </x:row>
    <x:row r="23">
      <x:c r="A23" s="63" t="str">
        <x:v>PRODUCT</x:v>
      </x:c>
      <x:c r="B23" s="66" t="n">
        <x:f>IFERROR(AVERAGEIF('KPI Tracker'!$C$6:$C$20,A23,'KPI Tracker'!$N$6:$N$20),0)</x:f>
        <x:v>0</x:v>
      </x:c>
      <x:c r="C23" s="63" t="n">
        <x:f>COUNTIFS('KPI Tracker'!$C$6:$C$20,A23,'KPI Tracker'!$I$6:$I$20,"Gate Met")</x:f>
        <x:v>0</x:v>
      </x:c>
      <x:c r="D23" s="63" t="n">
        <x:f>COUNTIFS('KPI Tracker'!$C$6:$C$20,A23,'KPI Tracker'!$J$6:$J$20,"Goal Met")</x:f>
        <x:v>0</x:v>
      </x:c>
    </x:row>
    <x:row r="24">
      <x:c r="A24" s="64" t="str">
        <x:v>SUCCESS</x:v>
      </x:c>
      <x:c r="B24" s="67" t="n">
        <x:f>IFERROR(AVERAGEIF('KPI Tracker'!$C$6:$C$20,A24,'KPI Tracker'!$N$6:$N$20),0)</x:f>
        <x:v>0</x:v>
      </x:c>
      <x:c r="C24" s="64" t="n">
        <x:f>COUNTIFS('KPI Tracker'!$C$6:$C$20,A24,'KPI Tracker'!$I$6:$I$20,"Gate Met")</x:f>
        <x:v>0</x:v>
      </x:c>
      <x:c r="D24" s="64" t="n">
        <x:f>COUNTIFS('KPI Tracker'!$C$6:$C$20,A24,'KPI Tracker'!$J$6:$J$20,"Goal Met")</x:f>
        <x:v>0</x:v>
      </x:c>
    </x:row>
    <x:row r="28">
      <x:c r="A28" s="73" t="str">
        <x:v>Decision rule: a phase is ready to advance only when its minimum KPI gates are met. Task completion indicates execution effort; gate and goal status indicate business evidence.</x:v>
      </x:c>
      <x:c r="B28" s="73"/>
      <x:c r="C28" s="73"/>
      <x:c r="D28" s="73"/>
      <x:c r="E28" s="73"/>
      <x:c r="F28" s="73"/>
      <x:c r="G28" s="73"/>
      <x:c r="H28" s="73"/>
      <x:c r="I28" s="73"/>
      <x:c r="J28" s="73"/>
      <x:c r="K28" s="73"/>
      <x:c r="L28" s="73"/>
      <x:c r="M28" s="73"/>
    </x:row>
    <x:row r="29">
      <x:c r="A29" s="73"/>
      <x:c r="B29" s="73"/>
      <x:c r="C29" s="73"/>
      <x:c r="D29" s="73"/>
      <x:c r="E29" s="73"/>
      <x:c r="F29" s="73"/>
      <x:c r="G29" s="73"/>
      <x:c r="H29" s="73"/>
      <x:c r="I29" s="73"/>
      <x:c r="J29" s="73"/>
      <x:c r="K29" s="73"/>
      <x:c r="L29" s="73"/>
      <x:c r="M29" s="73"/>
    </x:row>
  </x:sheetData>
  <x:mergeCells>
    <x:mergeCell ref="A1:M1"/>
    <x:mergeCell ref="A2:M2"/>
    <x:mergeCell ref="A4:C4"/>
    <x:mergeCell ref="D4:F4"/>
    <x:mergeCell ref="G4:I4"/>
    <x:mergeCell ref="J4:M4"/>
    <x:mergeCell ref="A5:C6"/>
    <x:mergeCell ref="D5:F6"/>
    <x:mergeCell ref="G5:I6"/>
    <x:mergeCell ref="J5:M6"/>
    <x:mergeCell ref="C8:F8"/>
    <x:mergeCell ref="H8:M9"/>
    <x:mergeCell ref="A28:M29"/>
  </x:mergeCells>
  <x:conditionalFormatting sqref="B13:B17">
    <x:cfRule type="dataBar" priority="1">
      <x:dataBar>
        <x:cfvo type="min"/>
        <x:cfvo type="max"/>
        <x:color rgb="FF526157"/>
      </x:dataBar>
      <x:extLst>
        <x:ext xmlns:x14="http://schemas.microsoft.com/office/spreadsheetml/2009/9/main" uri="{B025F937-C7B1-47D3-B67F-A62EFF666E3E}">
          <x14:id>{52C91449-CBC7-ECC4-9FA2-668C83A5804F}</x14:id>
        </x:ext>
      </x:extLst>
    </x:cfRule>
  </x:conditionalFormatting>
  <x:conditionalFormatting sqref="A22:A24">
    <x:cfRule type="containsText" dxfId="0" priority="2" operator="containsText" text="PRICING"/>
    <x:cfRule type="containsText" dxfId="1" priority="3" operator="containsText" text="PRODUCT"/>
    <x:cfRule type="containsText" dxfId="2" priority="4" operator="containsText" text="SUCCESS"/>
  </x:conditionalFormatting>
  <x:conditionalFormatting sqref="B22:B24">
    <x:cfRule type="dataBar" priority="5">
      <x:dataBar>
        <x:cfvo type="min"/>
        <x:cfvo type="max"/>
        <x:color rgb="FF4E5D67"/>
      </x:dataBar>
      <x:extLst>
        <x:ext xmlns:x14="http://schemas.microsoft.com/office/spreadsheetml/2009/9/main" uri="{B025F937-C7B1-47D3-B67F-A62EFF666E3E}">
          <x14:id>{33DEE8FF-E98A-620E-12BF-369A28736917}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d0641e83ee1c417b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2C91449-CBC7-ECC4-9FA2-668C83A5804F}">
            <x14:dataBar gradient="0">
              <x14:cfvo type="min"/>
              <x14:cfvo type="max"/>
              <x14:fillColor rgb="FF526157"/>
            </x14:dataBar>
          </x14:cfRule>
          <xm:sqref>B13:B17</xm:sqref>
        </x14:conditionalFormatting>
        <x14:conditionalFormatting>
          <x14:cfRule type="dataBar" priority="5" id="{33DEE8FF-E98A-620E-12BF-369A28736917}">
            <x14:dataBar gradient="0">
              <x14:cfvo type="min"/>
              <x14:cfvo type="max"/>
              <x14:fillColor rgb="FF4E5D67"/>
            </x14:dataBar>
          </x14:cfRule>
          <xm:sqref>B22:B24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5" hidden="0" customWidth="1"/>
    <x:col min="3" max="3" width="13" hidden="0" customWidth="1"/>
    <x:col min="4" max="4" width="13" hidden="0" customWidth="1"/>
    <x:col min="5" max="5" width="15" hidden="0" customWidth="1"/>
    <x:col min="6" max="6" width="38" hidden="0" customWidth="1"/>
    <x:col min="7" max="7" width="13" hidden="0" customWidth="1"/>
    <x:col min="8" max="8" width="12" hidden="0" customWidth="1"/>
    <x:col min="9" max="9" width="13" hidden="0" customWidth="1"/>
    <x:col min="10" max="10" width="22" hidden="0" customWidth="1"/>
  </x:cols>
  <x:sheetData>
    <x:row r="1" ht="34" customHeight="1">
      <x:c r="A1" s="3" t="str">
        <x:v>Five-Phase Roadmap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2" customHeight="1">
      <x:c r="A2" s="5" t="str">
        <x:v>J-CURVE  |  AUGUST 2026 - JULY 2028  |  PHASE PROGRESS ROLLS UP FROM KPI EXECUTION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5" ht="30" customHeight="1">
      <x:c r="A5" s="52" t="str">
        <x:v>Phase #</x:v>
      </x:c>
      <x:c r="B5" s="53" t="str">
        <x:v>Phase</x:v>
      </x:c>
      <x:c r="C5" s="53" t="str">
        <x:v>Start</x:v>
      </x:c>
      <x:c r="D5" s="53" t="str">
        <x:v>End</x:v>
      </x:c>
      <x:c r="E5" s="53" t="str">
        <x:v>Curve Position</x:v>
      </x:c>
      <x:c r="F5" s="53" t="str">
        <x:v>Objective</x:v>
      </x:c>
      <x:c r="G5" s="53" t="str">
        <x:v>KPI Gates Met</x:v>
      </x:c>
      <x:c r="H5" s="53" t="str">
        <x:v>Execution</x:v>
      </x:c>
      <x:c r="I5" s="53" t="str">
        <x:v>Date Position</x:v>
      </x:c>
      <x:c r="J5" s="54" t="str">
        <x:v>Advance Readiness</x:v>
      </x:c>
    </x:row>
    <x:row r="6">
      <x:c r="A6" s="62" t="str">
        <x:v>01</x:v>
      </x:c>
      <x:c r="B6" s="62" t="str">
        <x:v>Foundation</x:v>
      </x:c>
      <x:c r="C6" s="74" t="n">
        <x:v>46235</x:v>
      </x:c>
      <x:c r="D6" s="74" t="n">
        <x:v>46326</x:v>
      </x:c>
      <x:c r="E6" s="62" t="str">
        <x:v>INVEST</x:v>
      </x:c>
      <x:c r="F6" s="62" t="str">
        <x:v>Deliver useful output fast enough to earn payment.</x:v>
      </x:c>
      <x:c r="G6" s="77" t="n">
        <x:f>COUNTIFS('KPI Tracker'!$A$6:$A$20,B6,'KPI Tracker'!$I$6:$I$20,"Gate Met")</x:f>
        <x:v>0</x:v>
      </x:c>
      <x:c r="H6" s="65" t="n">
        <x:f>IFERROR(AVERAGEIF('KPI Tracker'!$A$6:$A$20,B6,'KPI Tracker'!$N$6:$N$20),0)</x:f>
        <x:v>0</x:v>
      </x:c>
      <x:c r="I6" s="62" t="str">
        <x:f>IF(TODAY()&lt;C6,"Upcoming",IF(TODAY()&gt;D6,"Complete","Current"))</x:f>
        <x:v>Upcoming</x:v>
      </x:c>
      <x:c r="J6" s="62" t="str">
        <x:f>IF(G6=3,"Gate Ready",IF(H6=1,"Tasks Done - Gates Open","Not Ready"))</x:f>
        <x:v>Not Ready</x:v>
      </x:c>
    </x:row>
    <x:row r="7">
      <x:c r="A7" s="63" t="str">
        <x:v>02</x:v>
      </x:c>
      <x:c r="B7" s="63" t="str">
        <x:v>Validation</x:v>
      </x:c>
      <x:c r="C7" s="75" t="n">
        <x:v>46327</x:v>
      </x:c>
      <x:c r="D7" s="75" t="n">
        <x:v>46418</x:v>
      </x:c>
      <x:c r="E7" s="63" t="str">
        <x:v>VALIDATE</x:v>
      </x:c>
      <x:c r="F7" s="63" t="str">
        <x:v>Retain teams and prove measurable value.</x:v>
      </x:c>
      <x:c r="G7" s="78" t="n">
        <x:f>COUNTIFS('KPI Tracker'!$A$6:$A$20,B7,'KPI Tracker'!$I$6:$I$20,"Gate Met")</x:f>
        <x:v>0</x:v>
      </x:c>
      <x:c r="H7" s="66" t="n">
        <x:f>IFERROR(AVERAGEIF('KPI Tracker'!$A$6:$A$20,B7,'KPI Tracker'!$N$6:$N$20),0)</x:f>
        <x:v>0</x:v>
      </x:c>
      <x:c r="I7" s="63" t="str">
        <x:f>IF(TODAY()&lt;C7,"Upcoming",IF(TODAY()&gt;D7,"Complete","Current"))</x:f>
        <x:v>Upcoming</x:v>
      </x:c>
      <x:c r="J7" s="63" t="str">
        <x:f>IF(G7=3,"Gate Ready",IF(H7=1,"Tasks Done - Gates Open","Not Ready"))</x:f>
        <x:v>Not Ready</x:v>
      </x:c>
    </x:row>
    <x:row r="8">
      <x:c r="A8" s="63" t="str">
        <x:v>03</x:v>
      </x:c>
      <x:c r="B8" s="63" t="str">
        <x:v>Inflection</x:v>
      </x:c>
      <x:c r="C8" s="75" t="n">
        <x:v>46419</x:v>
      </x:c>
      <x:c r="D8" s="75" t="n">
        <x:v>46599</x:v>
      </x:c>
      <x:c r="E8" s="63" t="str">
        <x:v>PROVE</x:v>
      </x:c>
      <x:c r="F8" s="63" t="str">
        <x:v>Use proven ROI to support pricing and retention.</x:v>
      </x:c>
      <x:c r="G8" s="78" t="n">
        <x:f>COUNTIFS('KPI Tracker'!$A$6:$A$20,B8,'KPI Tracker'!$I$6:$I$20,"Gate Met")</x:f>
        <x:v>0</x:v>
      </x:c>
      <x:c r="H8" s="66" t="n">
        <x:f>IFERROR(AVERAGEIF('KPI Tracker'!$A$6:$A$20,B8,'KPI Tracker'!$N$6:$N$20),0)</x:f>
        <x:v>0</x:v>
      </x:c>
      <x:c r="I8" s="63" t="str">
        <x:f>IF(TODAY()&lt;C8,"Upcoming",IF(TODAY()&gt;D8,"Complete","Current"))</x:f>
        <x:v>Upcoming</x:v>
      </x:c>
      <x:c r="J8" s="63" t="str">
        <x:f>IF(G8=3,"Gate Ready",IF(H8=1,"Tasks Done - Gates Open","Not Ready"))</x:f>
        <x:v>Not Ready</x:v>
      </x:c>
    </x:row>
    <x:row r="9">
      <x:c r="A9" s="63" t="str">
        <x:v>04</x:v>
      </x:c>
      <x:c r="B9" s="63" t="str">
        <x:v>Scale</x:v>
      </x:c>
      <x:c r="C9" s="75" t="n">
        <x:v>46600</x:v>
      </x:c>
      <x:c r="D9" s="75" t="n">
        <x:v>46783</x:v>
      </x:c>
      <x:c r="E9" s="63" t="str">
        <x:v>SCALE</x:v>
      </x:c>
      <x:c r="F9" s="63" t="str">
        <x:v>Repeat acquisition, onboarding, and retention efficiently.</x:v>
      </x:c>
      <x:c r="G9" s="78" t="n">
        <x:f>COUNTIFS('KPI Tracker'!$A$6:$A$20,B9,'KPI Tracker'!$I$6:$I$20,"Gate Met")</x:f>
        <x:v>0</x:v>
      </x:c>
      <x:c r="H9" s="66" t="n">
        <x:f>IFERROR(AVERAGEIF('KPI Tracker'!$A$6:$A$20,B9,'KPI Tracker'!$N$6:$N$20),0)</x:f>
        <x:v>0</x:v>
      </x:c>
      <x:c r="I9" s="63" t="str">
        <x:f>IF(TODAY()&lt;C9,"Upcoming",IF(TODAY()&gt;D9,"Complete","Current"))</x:f>
        <x:v>Upcoming</x:v>
      </x:c>
      <x:c r="J9" s="63" t="str">
        <x:f>IF(G9=3,"Gate Ready",IF(H9=1,"Tasks Done - Gates Open","Not Ready"))</x:f>
        <x:v>Not Ready</x:v>
      </x:c>
    </x:row>
    <x:row r="10">
      <x:c r="A10" s="64" t="str">
        <x:v>05</x:v>
      </x:c>
      <x:c r="B10" s="64" t="str">
        <x:v>Platform</x:v>
      </x:c>
      <x:c r="C10" s="76" t="n">
        <x:v>46784</x:v>
      </x:c>
      <x:c r="D10" s="76" t="n">
        <x:v>46965</x:v>
      </x:c>
      <x:c r="E10" s="64" t="str">
        <x:v>EXPAND</x:v>
      </x:c>
      <x:c r="F10" s="64" t="str">
        <x:v>Expand customer usage and spend over time.</x:v>
      </x:c>
      <x:c r="G10" s="79" t="n">
        <x:f>COUNTIFS('KPI Tracker'!$A$6:$A$20,B10,'KPI Tracker'!$I$6:$I$20,"Gate Met")</x:f>
        <x:v>0</x:v>
      </x:c>
      <x:c r="H10" s="67" t="n">
        <x:f>IFERROR(AVERAGEIF('KPI Tracker'!$A$6:$A$20,B10,'KPI Tracker'!$N$6:$N$20),0)</x:f>
        <x:v>0</x:v>
      </x:c>
      <x:c r="I10" s="64" t="str">
        <x:f>IF(TODAY()&lt;C10,"Upcoming",IF(TODAY()&gt;D10,"Complete","Current"))</x:f>
        <x:v>Upcoming</x:v>
      </x:c>
      <x:c r="J10" s="64" t="str">
        <x:f>IF(G10=3,"Gate Ready",IF(H10=1,"Tasks Done - Gates Open","Not Ready"))</x:f>
        <x:v>Not Ready</x:v>
      </x:c>
    </x:row>
  </x:sheetData>
  <x:mergeCells>
    <x:mergeCell ref="A1:J1"/>
    <x:mergeCell ref="A2:J2"/>
  </x:mergeCells>
  <x:conditionalFormatting sqref="H6:H10">
    <x:cfRule type="dataBar" priority="1">
      <x:dataBar>
        <x:cfvo type="min"/>
        <x:cfvo type="max"/>
        <x:color rgb="FF526157"/>
      </x:dataBar>
      <x:extLst>
        <x:ext xmlns:x14="http://schemas.microsoft.com/office/spreadsheetml/2009/9/main" uri="{B025F937-C7B1-47D3-B67F-A62EFF666E3E}">
          <x14:id>{D197E2C9-9EC6-6787-43DE-CF71D21F1FC9}</x14:id>
        </x:ext>
      </x:extLst>
    </x:cfRule>
  </x:conditionalFormatting>
  <x:conditionalFormatting sqref="I6:I10">
    <x:cfRule type="containsText" dxfId="3" priority="2" operator="containsText" text="Current"/>
  </x:conditionalFormatting>
  <x:conditionalFormatting sqref="J6:J10">
    <x:cfRule type="containsText" dxfId="4" priority="3" operator="containsText" text="Gate Ready"/>
  </x:conditionalFormatting>
  <x:pageMargins left="0.7" right="0.7" top="0.75" bottom="0.75" header="0.3" footer="0.3"/>
  <x:tableParts count="1">
    <x:tablePart xmlns:r="http://schemas.openxmlformats.org/officeDocument/2006/relationships" r:id="Rdeae70b4d28945e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197E2C9-9EC6-6787-43DE-CF71D21F1FC9}">
            <x14:dataBar gradient="0">
              <x14:cfvo type="min"/>
              <x14:cfvo type="max"/>
              <x14:fillColor rgb="FF526157"/>
            </x14:dataBar>
          </x14:cfRule>
          <xm:sqref>H6:H10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1" hidden="0" customWidth="1"/>
    <x:col min="4" max="4" width="24" hidden="0" customWidth="1"/>
    <x:col min="5" max="5" width="9" hidden="0" customWidth="1"/>
    <x:col min="6" max="6" width="36" hidden="0" customWidth="1"/>
    <x:col min="7" max="7" width="36" hidden="0" customWidth="1"/>
    <x:col min="8" max="8" width="28" hidden="0" customWidth="1"/>
    <x:col min="9" max="9" width="14" hidden="0" customWidth="1"/>
    <x:col min="10" max="10" width="14" hidden="0" customWidth="1"/>
    <x:col min="11" max="11" width="12" hidden="0" customWidth="1"/>
    <x:col min="12" max="12" width="10" hidden="0" customWidth="1"/>
    <x:col min="13" max="13" width="12" hidden="0" customWidth="1"/>
    <x:col min="14" max="14" width="11" hidden="0" customWidth="1"/>
    <x:col min="15" max="15" width="14" hidden="0" customWidth="1"/>
  </x:cols>
  <x:sheetData>
    <x:row r="1" ht="34" customHeight="1">
      <x:c r="A1" s="3" t="str">
        <x:v>KPI Tracker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2" customHeight="1">
      <x:c r="A2" s="5" t="str">
        <x:v>EDIT CURRENT RESULT, GATE STATUS, GOAL STATUS, AND REVIEW DATE  |  EXECUTION ROLLS UP FROM TASKS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5" ht="30" customHeight="1">
      <x:c r="A5" s="52" t="str">
        <x:v>Phase</x:v>
      </x:c>
      <x:c r="B5" s="53" t="str">
        <x:v>Period</x:v>
      </x:c>
      <x:c r="C5" s="53" t="str">
        <x:v>KPI Type</x:v>
      </x:c>
      <x:c r="D5" s="53" t="str">
        <x:v>KPI</x:v>
      </x:c>
      <x:c r="E5" s="53" t="str">
        <x:v>Owner</x:v>
      </x:c>
      <x:c r="F5" s="53" t="str">
        <x:v>Minimum Gate</x:v>
      </x:c>
      <x:c r="G5" s="53" t="str">
        <x:v>Goal</x:v>
      </x:c>
      <x:c r="H5" s="53" t="str">
        <x:v>Current Result</x:v>
      </x:c>
      <x:c r="I5" s="53" t="str">
        <x:v>Gate Status</x:v>
      </x:c>
      <x:c r="J5" s="53" t="str">
        <x:v>Goal Status</x:v>
      </x:c>
      <x:c r="K5" s="53" t="str">
        <x:v>Tasks Complete</x:v>
      </x:c>
      <x:c r="L5" s="53" t="str">
        <x:v>Total Tasks</x:v>
      </x:c>
      <x:c r="M5" s="53" t="str">
        <x:v>Task Summary</x:v>
      </x:c>
      <x:c r="N5" s="53" t="str">
        <x:v>Execution %</x:v>
      </x:c>
      <x:c r="O5" s="54" t="str">
        <x:v>Next Review</x:v>
      </x:c>
    </x:row>
    <x:row r="6">
      <x:c r="A6" s="62" t="str">
        <x:v>Foundation</x:v>
      </x:c>
      <x:c r="B6" s="62" t="str">
        <x:v>AUG-OCT 2026</x:v>
      </x:c>
      <x:c r="C6" s="62" t="str">
        <x:v>PRICING</x:v>
      </x:c>
      <x:c r="D6" s="62" t="str">
        <x:v>Customers willing to pay</x:v>
      </x:c>
      <x:c r="E6" s="62" t="str">
        <x:v>CEO</x:v>
      </x:c>
      <x:c r="F6" s="62" t="str">
        <x:v>3 pilot customers agree to pay after seeing JasonAI work.</x:v>
      </x:c>
      <x:c r="G6" s="62" t="str">
        <x:v>5 customers willing to pay $10-$25 per month.</x:v>
      </x:c>
      <x:c r="H6" s="62" t="str"/>
      <x:c r="I6" s="62" t="str">
        <x:v>Not Assessed</x:v>
      </x:c>
      <x:c r="J6" s="62" t="str">
        <x:v>Not Assessed</x:v>
      </x:c>
      <x:c r="K6" s="62" t="n">
        <x:f>COUNTIFS('Task Tracker'!$B$6:$B$65,A6,'Task Tracker'!$D$6:$D$65,C6,'Task Tracker'!$E$6:$E$65,D6,'Task Tracker'!$H$6:$H$65,"Completed")</x:f>
        <x:v>0</x:v>
      </x:c>
      <x:c r="L6" s="62" t="n">
        <x:f>COUNTIFS('Task Tracker'!$B$6:$B$65,A6,'Task Tracker'!$D$6:$D$65,C6,'Task Tracker'!$E$6:$E$65,D6)</x:f>
        <x:v>4</x:v>
      </x:c>
      <x:c r="M6" s="62" t="str">
        <x:f>K6&amp;" / "&amp;L6</x:f>
        <x:v>0 / 4</x:v>
      </x:c>
      <x:c r="N6" s="65" t="n">
        <x:f>IFERROR(K6/L6,0)</x:f>
        <x:v>0</x:v>
      </x:c>
      <x:c r="O6" s="74" t="str"/>
    </x:row>
    <x:row r="7">
      <x:c r="A7" s="63" t="str">
        <x:v>Foundation</x:v>
      </x:c>
      <x:c r="B7" s="63" t="str">
        <x:v>AUG-OCT 2026</x:v>
      </x:c>
      <x:c r="C7" s="63" t="str">
        <x:v>PRODUCT</x:v>
      </x:c>
      <x:c r="D7" s="63" t="str">
        <x:v>Useful-output rate</x:v>
      </x:c>
      <x:c r="E7" s="63" t="str">
        <x:v>CTO</x:v>
      </x:c>
      <x:c r="F7" s="63" t="str">
        <x:v>80% of reviewed outputs are useful.</x:v>
      </x:c>
      <x:c r="G7" s="63" t="str">
        <x:v>90% require little or no correction.</x:v>
      </x:c>
      <x:c r="H7" s="63" t="str"/>
      <x:c r="I7" s="63" t="str">
        <x:v>Not Assessed</x:v>
      </x:c>
      <x:c r="J7" s="63" t="str">
        <x:v>Not Assessed</x:v>
      </x:c>
      <x:c r="K7" s="63" t="n">
        <x:f>COUNTIFS('Task Tracker'!$B$6:$B$65,A7,'Task Tracker'!$D$6:$D$65,C7,'Task Tracker'!$E$6:$E$65,D7,'Task Tracker'!$H$6:$H$65,"Completed")</x:f>
        <x:v>0</x:v>
      </x:c>
      <x:c r="L7" s="63" t="n">
        <x:f>COUNTIFS('Task Tracker'!$B$6:$B$65,A7,'Task Tracker'!$D$6:$D$65,C7,'Task Tracker'!$E$6:$E$65,D7)</x:f>
        <x:v>4</x:v>
      </x:c>
      <x:c r="M7" s="63" t="str">
        <x:f>K7&amp;" / "&amp;L7</x:f>
        <x:v>0 / 4</x:v>
      </x:c>
      <x:c r="N7" s="66" t="n">
        <x:f>IFERROR(K7/L7,0)</x:f>
        <x:v>0</x:v>
      </x:c>
      <x:c r="O7" s="75" t="str"/>
    </x:row>
    <x:row r="8">
      <x:c r="A8" s="63" t="str">
        <x:v>Foundation</x:v>
      </x:c>
      <x:c r="B8" s="63" t="str">
        <x:v>AUG-OCT 2026</x:v>
      </x:c>
      <x:c r="C8" s="63" t="str">
        <x:v>SUCCESS</x:v>
      </x:c>
      <x:c r="D8" s="63" t="str">
        <x:v>Time to first value</x:v>
      </x:c>
      <x:c r="E8" s="63" t="str">
        <x:v>COO</x:v>
      </x:c>
      <x:c r="F8" s="63" t="str">
        <x:v>Useful output within 15 minutes of onboarding.</x:v>
      </x:c>
      <x:c r="G8" s="63" t="str">
        <x:v>Useful output within 5 minutes.</x:v>
      </x:c>
      <x:c r="H8" s="63" t="str"/>
      <x:c r="I8" s="63" t="str">
        <x:v>Not Assessed</x:v>
      </x:c>
      <x:c r="J8" s="63" t="str">
        <x:v>Not Assessed</x:v>
      </x:c>
      <x:c r="K8" s="63" t="n">
        <x:f>COUNTIFS('Task Tracker'!$B$6:$B$65,A8,'Task Tracker'!$D$6:$D$65,C8,'Task Tracker'!$E$6:$E$65,D8,'Task Tracker'!$H$6:$H$65,"Completed")</x:f>
        <x:v>0</x:v>
      </x:c>
      <x:c r="L8" s="63" t="n">
        <x:f>COUNTIFS('Task Tracker'!$B$6:$B$65,A8,'Task Tracker'!$D$6:$D$65,C8,'Task Tracker'!$E$6:$E$65,D8)</x:f>
        <x:v>4</x:v>
      </x:c>
      <x:c r="M8" s="63" t="str">
        <x:f>K8&amp;" / "&amp;L8</x:f>
        <x:v>0 / 4</x:v>
      </x:c>
      <x:c r="N8" s="66" t="n">
        <x:f>IFERROR(K8/L8,0)</x:f>
        <x:v>0</x:v>
      </x:c>
      <x:c r="O8" s="75" t="str"/>
    </x:row>
    <x:row r="9">
      <x:c r="A9" s="63" t="str">
        <x:v>Validation</x:v>
      </x:c>
      <x:c r="B9" s="63" t="str">
        <x:v>NOV 2026-JAN 2027</x:v>
      </x:c>
      <x:c r="C9" s="63" t="str">
        <x:v>PRICING</x:v>
      </x:c>
      <x:c r="D9" s="63" t="str">
        <x:v>Pilot-to-paid conversion</x:v>
      </x:c>
      <x:c r="E9" s="63" t="str">
        <x:v>CEO</x:v>
      </x:c>
      <x:c r="F9" s="63" t="str">
        <x:v>30% pilot-to-paid conversion.</x:v>
      </x:c>
      <x:c r="G9" s="63" t="str">
        <x:v>50% pilot-to-paid conversion.</x:v>
      </x:c>
      <x:c r="H9" s="63" t="str"/>
      <x:c r="I9" s="63" t="str">
        <x:v>Not Assessed</x:v>
      </x:c>
      <x:c r="J9" s="63" t="str">
        <x:v>Not Assessed</x:v>
      </x:c>
      <x:c r="K9" s="63" t="n">
        <x:f>COUNTIFS('Task Tracker'!$B$6:$B$65,A9,'Task Tracker'!$D$6:$D$65,C9,'Task Tracker'!$E$6:$E$65,D9,'Task Tracker'!$H$6:$H$65,"Completed")</x:f>
        <x:v>0</x:v>
      </x:c>
      <x:c r="L9" s="63" t="n">
        <x:f>COUNTIFS('Task Tracker'!$B$6:$B$65,A9,'Task Tracker'!$D$6:$D$65,C9,'Task Tracker'!$E$6:$E$65,D9)</x:f>
        <x:v>4</x:v>
      </x:c>
      <x:c r="M9" s="63" t="str">
        <x:f>K9&amp;" / "&amp;L9</x:f>
        <x:v>0 / 4</x:v>
      </x:c>
      <x:c r="N9" s="66" t="n">
        <x:f>IFERROR(K9/L9,0)</x:f>
        <x:v>0</x:v>
      </x:c>
      <x:c r="O9" s="75" t="str"/>
    </x:row>
    <x:row r="10">
      <x:c r="A10" s="63" t="str">
        <x:v>Validation</x:v>
      </x:c>
      <x:c r="B10" s="63" t="str">
        <x:v>NOV 2026-JAN 2027</x:v>
      </x:c>
      <x:c r="C10" s="63" t="str">
        <x:v>PRODUCT</x:v>
      </x:c>
      <x:c r="D10" s="63" t="str">
        <x:v>Four-week team retention</x:v>
      </x:c>
      <x:c r="E10" s="63" t="str">
        <x:v>CTO</x:v>
      </x:c>
      <x:c r="F10" s="63" t="str">
        <x:v>50% of pilot teams remain active at week four.</x:v>
      </x:c>
      <x:c r="G10" s="63" t="str">
        <x:v>65% of pilot teams remain active at week four.</x:v>
      </x:c>
      <x:c r="H10" s="63" t="str"/>
      <x:c r="I10" s="63" t="str">
        <x:v>Not Assessed</x:v>
      </x:c>
      <x:c r="J10" s="63" t="str">
        <x:v>Not Assessed</x:v>
      </x:c>
      <x:c r="K10" s="63" t="n">
        <x:f>COUNTIFS('Task Tracker'!$B$6:$B$65,A10,'Task Tracker'!$D$6:$D$65,C10,'Task Tracker'!$E$6:$E$65,D10,'Task Tracker'!$H$6:$H$65,"Completed")</x:f>
        <x:v>0</x:v>
      </x:c>
      <x:c r="L10" s="63" t="n">
        <x:f>COUNTIFS('Task Tracker'!$B$6:$B$65,A10,'Task Tracker'!$D$6:$D$65,C10,'Task Tracker'!$E$6:$E$65,D10)</x:f>
        <x:v>4</x:v>
      </x:c>
      <x:c r="M10" s="63" t="str">
        <x:f>K10&amp;" / "&amp;L10</x:f>
        <x:v>0 / 4</x:v>
      </x:c>
      <x:c r="N10" s="66" t="n">
        <x:f>IFERROR(K10/L10,0)</x:f>
        <x:v>0</x:v>
      </x:c>
      <x:c r="O10" s="75" t="str"/>
    </x:row>
    <x:row r="11">
      <x:c r="A11" s="63" t="str">
        <x:v>Validation</x:v>
      </x:c>
      <x:c r="B11" s="63" t="str">
        <x:v>NOV 2026-JAN 2027</x:v>
      </x:c>
      <x:c r="C11" s="63" t="str">
        <x:v>SUCCESS</x:v>
      </x:c>
      <x:c r="D11" s="63" t="str">
        <x:v>Verified hours saved</x:v>
      </x:c>
      <x:c r="E11" s="63" t="str">
        <x:v>COO</x:v>
      </x:c>
      <x:c r="F11" s="63" t="str">
        <x:v>1 verified hour saved per team each week.</x:v>
      </x:c>
      <x:c r="G11" s="63" t="str">
        <x:v>2 verified hours saved per team each week.</x:v>
      </x:c>
      <x:c r="H11" s="63" t="str"/>
      <x:c r="I11" s="63" t="str">
        <x:v>Not Assessed</x:v>
      </x:c>
      <x:c r="J11" s="63" t="str">
        <x:v>Not Assessed</x:v>
      </x:c>
      <x:c r="K11" s="63" t="n">
        <x:f>COUNTIFS('Task Tracker'!$B$6:$B$65,A11,'Task Tracker'!$D$6:$D$65,C11,'Task Tracker'!$E$6:$E$65,D11,'Task Tracker'!$H$6:$H$65,"Completed")</x:f>
        <x:v>0</x:v>
      </x:c>
      <x:c r="L11" s="63" t="n">
        <x:f>COUNTIFS('Task Tracker'!$B$6:$B$65,A11,'Task Tracker'!$D$6:$D$65,C11,'Task Tracker'!$E$6:$E$65,D11)</x:f>
        <x:v>4</x:v>
      </x:c>
      <x:c r="M11" s="63" t="str">
        <x:f>K11&amp;" / "&amp;L11</x:f>
        <x:v>0 / 4</x:v>
      </x:c>
      <x:c r="N11" s="66" t="n">
        <x:f>IFERROR(K11/L11,0)</x:f>
        <x:v>0</x:v>
      </x:c>
      <x:c r="O11" s="75" t="str"/>
    </x:row>
    <x:row r="12">
      <x:c r="A12" s="63" t="str">
        <x:v>Inflection</x:v>
      </x:c>
      <x:c r="B12" s="63" t="str">
        <x:v>FEB-JUL 2027</x:v>
      </x:c>
      <x:c r="C12" s="63" t="str">
        <x:v>PRICING</x:v>
      </x:c>
      <x:c r="D12" s="63" t="str">
        <x:v>Average revenue per team</x:v>
      </x:c>
      <x:c r="E12" s="63" t="str">
        <x:v>CEO</x:v>
      </x:c>
      <x:c r="F12" s="63" t="str">
        <x:v>$40 average monthly revenue per team.</x:v>
      </x:c>
      <x:c r="G12" s="63" t="str">
        <x:v>$75 average monthly revenue per team.</x:v>
      </x:c>
      <x:c r="H12" s="63" t="str"/>
      <x:c r="I12" s="63" t="str">
        <x:v>Not Assessed</x:v>
      </x:c>
      <x:c r="J12" s="63" t="str">
        <x:v>Not Assessed</x:v>
      </x:c>
      <x:c r="K12" s="63" t="n">
        <x:f>COUNTIFS('Task Tracker'!$B$6:$B$65,A12,'Task Tracker'!$D$6:$D$65,C12,'Task Tracker'!$E$6:$E$65,D12,'Task Tracker'!$H$6:$H$65,"Completed")</x:f>
        <x:v>0</x:v>
      </x:c>
      <x:c r="L12" s="63" t="n">
        <x:f>COUNTIFS('Task Tracker'!$B$6:$B$65,A12,'Task Tracker'!$D$6:$D$65,C12,'Task Tracker'!$E$6:$E$65,D12)</x:f>
        <x:v>4</x:v>
      </x:c>
      <x:c r="M12" s="63" t="str">
        <x:f>K12&amp;" / "&amp;L12</x:f>
        <x:v>0 / 4</x:v>
      </x:c>
      <x:c r="N12" s="66" t="n">
        <x:f>IFERROR(K12/L12,0)</x:f>
        <x:v>0</x:v>
      </x:c>
      <x:c r="O12" s="75" t="str"/>
    </x:row>
    <x:row r="13">
      <x:c r="A13" s="63" t="str">
        <x:v>Inflection</x:v>
      </x:c>
      <x:c r="B13" s="63" t="str">
        <x:v>FEB-JUL 2027</x:v>
      </x:c>
      <x:c r="C13" s="63" t="str">
        <x:v>PRODUCT</x:v>
      </x:c>
      <x:c r="D13" s="63" t="str">
        <x:v>Eight-week retention</x:v>
      </x:c>
      <x:c r="E13" s="63" t="str">
        <x:v>CTO</x:v>
      </x:c>
      <x:c r="F13" s="63" t="str">
        <x:v>60% of teams remain active at week eight.</x:v>
      </x:c>
      <x:c r="G13" s="63" t="str">
        <x:v>75% of teams remain active at week eight.</x:v>
      </x:c>
      <x:c r="H13" s="63" t="str"/>
      <x:c r="I13" s="63" t="str">
        <x:v>Not Assessed</x:v>
      </x:c>
      <x:c r="J13" s="63" t="str">
        <x:v>Not Assessed</x:v>
      </x:c>
      <x:c r="K13" s="63" t="n">
        <x:f>COUNTIFS('Task Tracker'!$B$6:$B$65,A13,'Task Tracker'!$D$6:$D$65,C13,'Task Tracker'!$E$6:$E$65,D13,'Task Tracker'!$H$6:$H$65,"Completed")</x:f>
        <x:v>0</x:v>
      </x:c>
      <x:c r="L13" s="63" t="n">
        <x:f>COUNTIFS('Task Tracker'!$B$6:$B$65,A13,'Task Tracker'!$D$6:$D$65,C13,'Task Tracker'!$E$6:$E$65,D13)</x:f>
        <x:v>4</x:v>
      </x:c>
      <x:c r="M13" s="63" t="str">
        <x:f>K13&amp;" / "&amp;L13</x:f>
        <x:v>0 / 4</x:v>
      </x:c>
      <x:c r="N13" s="66" t="n">
        <x:f>IFERROR(K13/L13,0)</x:f>
        <x:v>0</x:v>
      </x:c>
      <x:c r="O13" s="75" t="str"/>
    </x:row>
    <x:row r="14">
      <x:c r="A14" s="63" t="str">
        <x:v>Inflection</x:v>
      </x:c>
      <x:c r="B14" s="63" t="str">
        <x:v>FEB-JUL 2027</x:v>
      </x:c>
      <x:c r="C14" s="63" t="str">
        <x:v>SUCCESS</x:v>
      </x:c>
      <x:c r="D14" s="63" t="str">
        <x:v>Customer-confirmed ROI</x:v>
      </x:c>
      <x:c r="E14" s="63" t="str">
        <x:v>COO</x:v>
      </x:c>
      <x:c r="F14" s="63" t="str">
        <x:v>70% of customers confirm positive ROI.</x:v>
      </x:c>
      <x:c r="G14" s="63" t="str">
        <x:v>85% of customers confirm positive ROI.</x:v>
      </x:c>
      <x:c r="H14" s="63" t="str"/>
      <x:c r="I14" s="63" t="str">
        <x:v>Not Assessed</x:v>
      </x:c>
      <x:c r="J14" s="63" t="str">
        <x:v>Not Assessed</x:v>
      </x:c>
      <x:c r="K14" s="63" t="n">
        <x:f>COUNTIFS('Task Tracker'!$B$6:$B$65,A14,'Task Tracker'!$D$6:$D$65,C14,'Task Tracker'!$E$6:$E$65,D14,'Task Tracker'!$H$6:$H$65,"Completed")</x:f>
        <x:v>0</x:v>
      </x:c>
      <x:c r="L14" s="63" t="n">
        <x:f>COUNTIFS('Task Tracker'!$B$6:$B$65,A14,'Task Tracker'!$D$6:$D$65,C14,'Task Tracker'!$E$6:$E$65,D14)</x:f>
        <x:v>4</x:v>
      </x:c>
      <x:c r="M14" s="63" t="str">
        <x:f>K14&amp;" / "&amp;L14</x:f>
        <x:v>0 / 4</x:v>
      </x:c>
      <x:c r="N14" s="66" t="n">
        <x:f>IFERROR(K14/L14,0)</x:f>
        <x:v>0</x:v>
      </x:c>
      <x:c r="O14" s="75" t="str"/>
    </x:row>
    <x:row r="15">
      <x:c r="A15" s="63" t="str">
        <x:v>Scale</x:v>
      </x:c>
      <x:c r="B15" s="63" t="str">
        <x:v>AUG 2027-JAN 2028</x:v>
      </x:c>
      <x:c r="C15" s="63" t="str">
        <x:v>PRICING</x:v>
      </x:c>
      <x:c r="D15" s="63" t="str">
        <x:v>LTV:CAC</x:v>
      </x:c>
      <x:c r="E15" s="63" t="str">
        <x:v>CEO</x:v>
      </x:c>
      <x:c r="F15" s="63" t="str">
        <x:v>3x lifetime value to acquisition cost.</x:v>
      </x:c>
      <x:c r="G15" s="63" t="str">
        <x:v>4x lifetime value to acquisition cost.</x:v>
      </x:c>
      <x:c r="H15" s="63" t="str"/>
      <x:c r="I15" s="63" t="str">
        <x:v>Not Assessed</x:v>
      </x:c>
      <x:c r="J15" s="63" t="str">
        <x:v>Not Assessed</x:v>
      </x:c>
      <x:c r="K15" s="63" t="n">
        <x:f>COUNTIFS('Task Tracker'!$B$6:$B$65,A15,'Task Tracker'!$D$6:$D$65,C15,'Task Tracker'!$E$6:$E$65,D15,'Task Tracker'!$H$6:$H$65,"Completed")</x:f>
        <x:v>0</x:v>
      </x:c>
      <x:c r="L15" s="63" t="n">
        <x:f>COUNTIFS('Task Tracker'!$B$6:$B$65,A15,'Task Tracker'!$D$6:$D$65,C15,'Task Tracker'!$E$6:$E$65,D15)</x:f>
        <x:v>4</x:v>
      </x:c>
      <x:c r="M15" s="63" t="str">
        <x:f>K15&amp;" / "&amp;L15</x:f>
        <x:v>0 / 4</x:v>
      </x:c>
      <x:c r="N15" s="66" t="n">
        <x:f>IFERROR(K15/L15,0)</x:f>
        <x:v>0</x:v>
      </x:c>
      <x:c r="O15" s="75" t="str"/>
    </x:row>
    <x:row r="16">
      <x:c r="A16" s="63" t="str">
        <x:v>Scale</x:v>
      </x:c>
      <x:c r="B16" s="63" t="str">
        <x:v>AUG 2027-JAN 2028</x:v>
      </x:c>
      <x:c r="C16" s="63" t="str">
        <x:v>PRODUCT</x:v>
      </x:c>
      <x:c r="D16" s="63" t="str">
        <x:v>Weekly active teams</x:v>
      </x:c>
      <x:c r="E16" s="63" t="str">
        <x:v>CTO</x:v>
      </x:c>
      <x:c r="F16" s="63" t="str">
        <x:v>80% of retained teams are active weekly.</x:v>
      </x:c>
      <x:c r="G16" s="63" t="str">
        <x:v>90% of retained teams are active weekly.</x:v>
      </x:c>
      <x:c r="H16" s="63" t="str"/>
      <x:c r="I16" s="63" t="str">
        <x:v>Not Assessed</x:v>
      </x:c>
      <x:c r="J16" s="63" t="str">
        <x:v>Not Assessed</x:v>
      </x:c>
      <x:c r="K16" s="63" t="n">
        <x:f>COUNTIFS('Task Tracker'!$B$6:$B$65,A16,'Task Tracker'!$D$6:$D$65,C16,'Task Tracker'!$E$6:$E$65,D16,'Task Tracker'!$H$6:$H$65,"Completed")</x:f>
        <x:v>0</x:v>
      </x:c>
      <x:c r="L16" s="63" t="n">
        <x:f>COUNTIFS('Task Tracker'!$B$6:$B$65,A16,'Task Tracker'!$D$6:$D$65,C16,'Task Tracker'!$E$6:$E$65,D16)</x:f>
        <x:v>4</x:v>
      </x:c>
      <x:c r="M16" s="63" t="str">
        <x:f>K16&amp;" / "&amp;L16</x:f>
        <x:v>0 / 4</x:v>
      </x:c>
      <x:c r="N16" s="66" t="n">
        <x:f>IFERROR(K16/L16,0)</x:f>
        <x:v>0</x:v>
      </x:c>
      <x:c r="O16" s="75" t="str"/>
    </x:row>
    <x:row r="17">
      <x:c r="A17" s="63" t="str">
        <x:v>Scale</x:v>
      </x:c>
      <x:c r="B17" s="63" t="str">
        <x:v>AUG 2027-JAN 2028</x:v>
      </x:c>
      <x:c r="C17" s="63" t="str">
        <x:v>SUCCESS</x:v>
      </x:c>
      <x:c r="D17" s="63" t="str">
        <x:v>Monthly logo churn</x:v>
      </x:c>
      <x:c r="E17" s="63" t="str">
        <x:v>COO</x:v>
      </x:c>
      <x:c r="F17" s="63" t="str">
        <x:v>Less than 4% monthly logo churn.</x:v>
      </x:c>
      <x:c r="G17" s="63" t="str">
        <x:v>Less than 3% monthly logo churn.</x:v>
      </x:c>
      <x:c r="H17" s="63" t="str"/>
      <x:c r="I17" s="63" t="str">
        <x:v>Not Assessed</x:v>
      </x:c>
      <x:c r="J17" s="63" t="str">
        <x:v>Not Assessed</x:v>
      </x:c>
      <x:c r="K17" s="63" t="n">
        <x:f>COUNTIFS('Task Tracker'!$B$6:$B$65,A17,'Task Tracker'!$D$6:$D$65,C17,'Task Tracker'!$E$6:$E$65,D17,'Task Tracker'!$H$6:$H$65,"Completed")</x:f>
        <x:v>0</x:v>
      </x:c>
      <x:c r="L17" s="63" t="n">
        <x:f>COUNTIFS('Task Tracker'!$B$6:$B$65,A17,'Task Tracker'!$D$6:$D$65,C17,'Task Tracker'!$E$6:$E$65,D17)</x:f>
        <x:v>4</x:v>
      </x:c>
      <x:c r="M17" s="63" t="str">
        <x:f>K17&amp;" / "&amp;L17</x:f>
        <x:v>0 / 4</x:v>
      </x:c>
      <x:c r="N17" s="66" t="n">
        <x:f>IFERROR(K17/L17,0)</x:f>
        <x:v>0</x:v>
      </x:c>
      <x:c r="O17" s="75" t="str"/>
    </x:row>
    <x:row r="18">
      <x:c r="A18" s="63" t="str">
        <x:v>Platform</x:v>
      </x:c>
      <x:c r="B18" s="63" t="str">
        <x:v>FEB-JUL 2028</x:v>
      </x:c>
      <x:c r="C18" s="63" t="str">
        <x:v>PRICING</x:v>
      </x:c>
      <x:c r="D18" s="63" t="str">
        <x:v>Net revenue retention</x:v>
      </x:c>
      <x:c r="E18" s="63" t="str">
        <x:v>CEO</x:v>
      </x:c>
      <x:c r="F18" s="63" t="str">
        <x:v>110% net revenue retention.</x:v>
      </x:c>
      <x:c r="G18" s="63" t="str">
        <x:v>120% net revenue retention.</x:v>
      </x:c>
      <x:c r="H18" s="63" t="str"/>
      <x:c r="I18" s="63" t="str">
        <x:v>Not Assessed</x:v>
      </x:c>
      <x:c r="J18" s="63" t="str">
        <x:v>Not Assessed</x:v>
      </x:c>
      <x:c r="K18" s="63" t="n">
        <x:f>COUNTIFS('Task Tracker'!$B$6:$B$65,A18,'Task Tracker'!$D$6:$D$65,C18,'Task Tracker'!$E$6:$E$65,D18,'Task Tracker'!$H$6:$H$65,"Completed")</x:f>
        <x:v>0</x:v>
      </x:c>
      <x:c r="L18" s="63" t="n">
        <x:f>COUNTIFS('Task Tracker'!$B$6:$B$65,A18,'Task Tracker'!$D$6:$D$65,C18,'Task Tracker'!$E$6:$E$65,D18)</x:f>
        <x:v>4</x:v>
      </x:c>
      <x:c r="M18" s="63" t="str">
        <x:f>K18&amp;" / "&amp;L18</x:f>
        <x:v>0 / 4</x:v>
      </x:c>
      <x:c r="N18" s="66" t="n">
        <x:f>IFERROR(K18/L18,0)</x:f>
        <x:v>0</x:v>
      </x:c>
      <x:c r="O18" s="75" t="str"/>
    </x:row>
    <x:row r="19">
      <x:c r="A19" s="63" t="str">
        <x:v>Platform</x:v>
      </x:c>
      <x:c r="B19" s="63" t="str">
        <x:v>FEB-JUL 2028</x:v>
      </x:c>
      <x:c r="C19" s="63" t="str">
        <x:v>PRODUCT</x:v>
      </x:c>
      <x:c r="D19" s="63" t="str">
        <x:v>Multi-workflow adoption</x:v>
      </x:c>
      <x:c r="E19" s="63" t="str">
        <x:v>CTO</x:v>
      </x:c>
      <x:c r="F19" s="63" t="str">
        <x:v>50% of teams use at least two workflows.</x:v>
      </x:c>
      <x:c r="G19" s="63" t="str">
        <x:v>70% of teams use at least two workflows.</x:v>
      </x:c>
      <x:c r="H19" s="63" t="str"/>
      <x:c r="I19" s="63" t="str">
        <x:v>Not Assessed</x:v>
      </x:c>
      <x:c r="J19" s="63" t="str">
        <x:v>Not Assessed</x:v>
      </x:c>
      <x:c r="K19" s="63" t="n">
        <x:f>COUNTIFS('Task Tracker'!$B$6:$B$65,A19,'Task Tracker'!$D$6:$D$65,C19,'Task Tracker'!$E$6:$E$65,D19,'Task Tracker'!$H$6:$H$65,"Completed")</x:f>
        <x:v>0</x:v>
      </x:c>
      <x:c r="L19" s="63" t="n">
        <x:f>COUNTIFS('Task Tracker'!$B$6:$B$65,A19,'Task Tracker'!$D$6:$D$65,C19,'Task Tracker'!$E$6:$E$65,D19)</x:f>
        <x:v>4</x:v>
      </x:c>
      <x:c r="M19" s="63" t="str">
        <x:f>K19&amp;" / "&amp;L19</x:f>
        <x:v>0 / 4</x:v>
      </x:c>
      <x:c r="N19" s="66" t="n">
        <x:f>IFERROR(K19/L19,0)</x:f>
        <x:v>0</x:v>
      </x:c>
      <x:c r="O19" s="75" t="str"/>
    </x:row>
    <x:row r="20">
      <x:c r="A20" s="64" t="str">
        <x:v>Platform</x:v>
      </x:c>
      <x:c r="B20" s="64" t="str">
        <x:v>FEB-JUL 2028</x:v>
      </x:c>
      <x:c r="C20" s="64" t="str">
        <x:v>SUCCESS</x:v>
      </x:c>
      <x:c r="D20" s="64" t="str">
        <x:v>Customer ROI score</x:v>
      </x:c>
      <x:c r="E20" s="64" t="str">
        <x:v>COO</x:v>
      </x:c>
      <x:c r="F20" s="64" t="str">
        <x:v>85 out of 100 average ROI score.</x:v>
      </x:c>
      <x:c r="G20" s="64" t="str">
        <x:v>90 out of 100 average ROI score.</x:v>
      </x:c>
      <x:c r="H20" s="64" t="str"/>
      <x:c r="I20" s="64" t="str">
        <x:v>Not Assessed</x:v>
      </x:c>
      <x:c r="J20" s="64" t="str">
        <x:v>Not Assessed</x:v>
      </x:c>
      <x:c r="K20" s="64" t="n">
        <x:f>COUNTIFS('Task Tracker'!$B$6:$B$65,A20,'Task Tracker'!$D$6:$D$65,C20,'Task Tracker'!$E$6:$E$65,D20,'Task Tracker'!$H$6:$H$65,"Completed")</x:f>
        <x:v>0</x:v>
      </x:c>
      <x:c r="L20" s="64" t="n">
        <x:f>COUNTIFS('Task Tracker'!$B$6:$B$65,A20,'Task Tracker'!$D$6:$D$65,C20,'Task Tracker'!$E$6:$E$65,D20)</x:f>
        <x:v>4</x:v>
      </x:c>
      <x:c r="M20" s="64" t="str">
        <x:f>K20&amp;" / "&amp;L20</x:f>
        <x:v>0 / 4</x:v>
      </x:c>
      <x:c r="N20" s="67" t="n">
        <x:f>IFERROR(K20/L20,0)</x:f>
        <x:v>0</x:v>
      </x:c>
      <x:c r="O20" s="76" t="str"/>
    </x:row>
  </x:sheetData>
  <x:mergeCells>
    <x:mergeCell ref="A1:O1"/>
    <x:mergeCell ref="A2:O2"/>
  </x:mergeCells>
  <x:conditionalFormatting sqref="C6:C20">
    <x:cfRule type="containsText" dxfId="5" priority="1" operator="containsText" text="PRICING"/>
    <x:cfRule type="containsText" dxfId="6" priority="2" operator="containsText" text="PRODUCT"/>
    <x:cfRule type="containsText" dxfId="7" priority="3" operator="containsText" text="SUCCESS"/>
  </x:conditionalFormatting>
  <x:conditionalFormatting sqref="I6:I20">
    <x:cfRule type="containsText" dxfId="8" priority="4" operator="containsText" text="Gate Met"/>
    <x:cfRule type="containsText" dxfId="9" priority="5" operator="containsText" text="Below Gate"/>
  </x:conditionalFormatting>
  <x:conditionalFormatting sqref="J6:J20">
    <x:cfRule type="containsText" dxfId="10" priority="6" operator="containsText" text="Goal Met"/>
  </x:conditionalFormatting>
  <x:conditionalFormatting sqref="N6:N20">
    <x:cfRule type="dataBar" priority="7">
      <x:dataBar>
        <x:cfvo type="min"/>
        <x:cfvo type="max"/>
        <x:color rgb="FF4E5D67"/>
      </x:dataBar>
      <x:extLst>
        <x:ext xmlns:x14="http://schemas.microsoft.com/office/spreadsheetml/2009/9/main" uri="{B025F937-C7B1-47D3-B67F-A62EFF666E3E}">
          <x14:id>{6B267444-2E74-8C7D-3C23-A1251722EAD5}</x14:id>
        </x:ext>
      </x:extLst>
    </x:cfRule>
  </x:conditionalFormatting>
  <x:dataValidations count="2">
    <x:dataValidation type="list" sqref="I6:I20">
      <x:formula1>"Not Assessed,Below Gate,Gate Met"</x:formula1>
    </x:dataValidation>
    <x:dataValidation type="list" sqref="J6:J20">
      <x:formula1>"Not Assessed,Below Goal,Goal Met"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63c54571ca40b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7" id="{6B267444-2E74-8C7D-3C23-A1251722EAD5}">
            <x14:dataBar gradient="0">
              <x14:cfvo type="min"/>
              <x14:cfvo type="max"/>
              <x14:fillColor rgb="FF4E5D67"/>
            </x14:dataBar>
          </x14:cfRule>
          <xm:sqref>N6:N20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8" hidden="0" customWidth="1"/>
    <x:col min="4" max="4" width="11" hidden="0" customWidth="1"/>
    <x:col min="5" max="5" width="23" hidden="0" customWidth="1"/>
    <x:col min="6" max="6" width="9" hidden="0" customWidth="1"/>
    <x:col min="7" max="7" width="42" hidden="0" customWidth="1"/>
    <x:col min="8" max="8" width="14" hidden="0" customWidth="1"/>
    <x:col min="9" max="9" width="13" hidden="0" customWidth="1"/>
    <x:col min="10" max="10" width="10" hidden="0" customWidth="1"/>
    <x:col min="11" max="11" width="11" hidden="0" customWidth="1"/>
    <x:col min="12" max="12" width="30" hidden="0" customWidth="1"/>
    <x:col min="13" max="13" width="26" hidden="0" customWidth="1"/>
    <x:col min="14" max="14" width="42" hidden="0" customWidth="1"/>
    <x:col min="15" max="15" width="10" hidden="0" customWidth="1"/>
    <x:col min="16" max="16" width="28" hidden="0" customWidth="1"/>
    <x:col min="17" max="17" width="11" hidden="0" customWidth="1"/>
    <x:col min="18" max="18" width="14" hidden="0" customWidth="1"/>
  </x:cols>
  <x:sheetData>
    <x:row r="1" ht="34" customHeight="1">
      <x:c r="A1" s="3" t="str">
        <x:v>Task Tracker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2" customHeight="1">
      <x:c r="A2" s="5" t="str">
        <x:v>UPDATE STATUS, DUE DATE, QUANTITY, RESULT, EVIDENCE, AND NOTES  |  DASHBOARD AND KPI PROGRESS UPDATE AUTOMATICALLY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5" ht="30" customHeight="1">
      <x:c r="A5" s="52" t="str">
        <x:v>Task ID</x:v>
      </x:c>
      <x:c r="B5" s="53" t="str">
        <x:v>Phase</x:v>
      </x:c>
      <x:c r="C5" s="53" t="str">
        <x:v>Period</x:v>
      </x:c>
      <x:c r="D5" s="53" t="str">
        <x:v>KPI Type</x:v>
      </x:c>
      <x:c r="E5" s="53" t="str">
        <x:v>KPI</x:v>
      </x:c>
      <x:c r="F5" s="53" t="str">
        <x:v>Owner</x:v>
      </x:c>
      <x:c r="G5" s="53" t="str">
        <x:v>Task</x:v>
      </x:c>
      <x:c r="H5" s="53" t="str">
        <x:v>Status</x:v>
      </x:c>
      <x:c r="I5" s="53" t="str">
        <x:v>Due Date</x:v>
      </x:c>
      <x:c r="J5" s="53" t="str">
        <x:v>Quantity</x:v>
      </x:c>
      <x:c r="K5" s="53" t="str">
        <x:v>Unit</x:v>
      </x:c>
      <x:c r="L5" s="53" t="str">
        <x:v>Reported Result</x:v>
      </x:c>
      <x:c r="M5" s="53" t="str">
        <x:v>Evidence / Link</x:v>
      </x:c>
      <x:c r="N5" s="53" t="str">
        <x:v>Tracked Metrics</x:v>
      </x:c>
      <x:c r="O5" s="53" t="str">
        <x:v>Priority</x:v>
      </x:c>
      <x:c r="P5" s="53" t="str">
        <x:v>Notes</x:v>
      </x:c>
      <x:c r="Q5" s="53" t="str">
        <x:v>Completion %</x:v>
      </x:c>
      <x:c r="R5" s="54" t="str">
        <x:v>Last Updated</x:v>
      </x:c>
    </x:row>
    <x:row r="6">
      <x:c r="A6" s="62" t="str">
        <x:v>P01-PRI-T01</x:v>
      </x:c>
      <x:c r="B6" s="62" t="str">
        <x:v>Foundation</x:v>
      </x:c>
      <x:c r="C6" s="62" t="str">
        <x:v>AUG-OCT 2026</x:v>
      </x:c>
      <x:c r="D6" s="62" t="str">
        <x:v>PRICING</x:v>
      </x:c>
      <x:c r="E6" s="62" t="str">
        <x:v>Customers willing to pay</x:v>
      </x:c>
      <x:c r="F6" s="62" t="str">
        <x:v>CEO</x:v>
      </x:c>
      <x:c r="G6" s="62" t="str">
        <x:v>Recruit five qualified pilot teams.</x:v>
      </x:c>
      <x:c r="H6" s="62" t="str">
        <x:v>Not Started</x:v>
      </x:c>
      <x:c r="I6" s="74" t="str"/>
      <x:c r="J6" s="62" t="str"/>
      <x:c r="K6" s="62" t="str"/>
      <x:c r="L6" s="62" t="str"/>
      <x:c r="M6" s="62" t="str"/>
      <x:c r="N6" s="62" t="str">
        <x:v>Qualified pilots recruited (#); Payment commitment rate (%); Willingness-to-pay range ($); Committed monthly recurring revenue ($)</x:v>
      </x:c>
      <x:c r="O6" s="62" t="str">
        <x:v>Medium</x:v>
      </x:c>
      <x:c r="P6" s="62" t="str"/>
      <x:c r="Q6" s="65" t="n">
        <x:f>IF(H6="Completed",1,IF(H6="In Progress",0.5,0))</x:f>
        <x:v>0</x:v>
      </x:c>
      <x:c r="R6" s="74" t="str"/>
    </x:row>
    <x:row r="7">
      <x:c r="A7" s="63" t="str">
        <x:v>P01-PRI-T02</x:v>
      </x:c>
      <x:c r="B7" s="63" t="str">
        <x:v>Foundation</x:v>
      </x:c>
      <x:c r="C7" s="63" t="str">
        <x:v>AUG-OCT 2026</x:v>
      </x:c>
      <x:c r="D7" s="63" t="str">
        <x:v>PRICING</x:v>
      </x:c>
      <x:c r="E7" s="63" t="str">
        <x:v>Customers willing to pay</x:v>
      </x:c>
      <x:c r="F7" s="63" t="str">
        <x:v>CEO</x:v>
      </x:c>
      <x:c r="G7" s="63" t="str">
        <x:v>Run pricing interviews after live demonstrations.</x:v>
      </x:c>
      <x:c r="H7" s="63" t="str">
        <x:v>Not Started</x:v>
      </x:c>
      <x:c r="I7" s="75" t="str"/>
      <x:c r="J7" s="63" t="str"/>
      <x:c r="K7" s="63" t="str"/>
      <x:c r="L7" s="63" t="str"/>
      <x:c r="M7" s="63" t="str"/>
      <x:c r="N7" s="63" t="str">
        <x:v>Qualified pilots recruited (#); Payment commitment rate (%); Willingness-to-pay range ($); Committed monthly recurring revenue ($)</x:v>
      </x:c>
      <x:c r="O7" s="63" t="str">
        <x:v>Medium</x:v>
      </x:c>
      <x:c r="P7" s="63" t="str"/>
      <x:c r="Q7" s="66" t="n">
        <x:f>IF(H7="Completed",1,IF(H7="In Progress",0.5,0))</x:f>
        <x:v>0</x:v>
      </x:c>
      <x:c r="R7" s="75" t="str"/>
    </x:row>
    <x:row r="8">
      <x:c r="A8" s="63" t="str">
        <x:v>P01-PRI-T03</x:v>
      </x:c>
      <x:c r="B8" s="63" t="str">
        <x:v>Foundation</x:v>
      </x:c>
      <x:c r="C8" s="63" t="str">
        <x:v>AUG-OCT 2026</x:v>
      </x:c>
      <x:c r="D8" s="63" t="str">
        <x:v>PRICING</x:v>
      </x:c>
      <x:c r="E8" s="63" t="str">
        <x:v>Customers willing to pay</x:v>
      </x:c>
      <x:c r="F8" s="63" t="str">
        <x:v>CEO</x:v>
      </x:c>
      <x:c r="G8" s="63" t="str">
        <x:v>Document objections and payment commitments.</x:v>
      </x:c>
      <x:c r="H8" s="63" t="str">
        <x:v>Not Started</x:v>
      </x:c>
      <x:c r="I8" s="75" t="str"/>
      <x:c r="J8" s="63" t="str"/>
      <x:c r="K8" s="63" t="str"/>
      <x:c r="L8" s="63" t="str"/>
      <x:c r="M8" s="63" t="str"/>
      <x:c r="N8" s="63" t="str">
        <x:v>Qualified pilots recruited (#); Payment commitment rate (%); Willingness-to-pay range ($); Committed monthly recurring revenue ($)</x:v>
      </x:c>
      <x:c r="O8" s="63" t="str">
        <x:v>Medium</x:v>
      </x:c>
      <x:c r="P8" s="63" t="str"/>
      <x:c r="Q8" s="66" t="n">
        <x:f>IF(H8="Completed",1,IF(H8="In Progress",0.5,0))</x:f>
        <x:v>0</x:v>
      </x:c>
      <x:c r="R8" s="75" t="str"/>
    </x:row>
    <x:row r="9">
      <x:c r="A9" s="63" t="str">
        <x:v>P01-PRI-T04</x:v>
      </x:c>
      <x:c r="B9" s="63" t="str">
        <x:v>Foundation</x:v>
      </x:c>
      <x:c r="C9" s="63" t="str">
        <x:v>AUG-OCT 2026</x:v>
      </x:c>
      <x:c r="D9" s="63" t="str">
        <x:v>PRICING</x:v>
      </x:c>
      <x:c r="E9" s="63" t="str">
        <x:v>Customers willing to pay</x:v>
      </x:c>
      <x:c r="F9" s="63" t="str">
        <x:v>CEO</x:v>
      </x:c>
      <x:c r="G9" s="63" t="str">
        <x:v>Select the initial paid package and contract terms.</x:v>
      </x:c>
      <x:c r="H9" s="63" t="str">
        <x:v>Not Started</x:v>
      </x:c>
      <x:c r="I9" s="75" t="str"/>
      <x:c r="J9" s="63" t="str"/>
      <x:c r="K9" s="63" t="str"/>
      <x:c r="L9" s="63" t="str"/>
      <x:c r="M9" s="63" t="str"/>
      <x:c r="N9" s="63" t="str">
        <x:v>Qualified pilots recruited (#); Payment commitment rate (%); Willingness-to-pay range ($); Committed monthly recurring revenue ($)</x:v>
      </x:c>
      <x:c r="O9" s="63" t="str">
        <x:v>Medium</x:v>
      </x:c>
      <x:c r="P9" s="63" t="str"/>
      <x:c r="Q9" s="66" t="n">
        <x:f>IF(H9="Completed",1,IF(H9="In Progress",0.5,0))</x:f>
        <x:v>0</x:v>
      </x:c>
      <x:c r="R9" s="75" t="str"/>
    </x:row>
    <x:row r="10">
      <x:c r="A10" s="63" t="str">
        <x:v>P01-PRO-T01</x:v>
      </x:c>
      <x:c r="B10" s="63" t="str">
        <x:v>Foundation</x:v>
      </x:c>
      <x:c r="C10" s="63" t="str">
        <x:v>AUG-OCT 2026</x:v>
      </x:c>
      <x:c r="D10" s="63" t="str">
        <x:v>PRODUCT</x:v>
      </x:c>
      <x:c r="E10" s="63" t="str">
        <x:v>Useful-output rate</x:v>
      </x:c>
      <x:c r="F10" s="63" t="str">
        <x:v>CTO</x:v>
      </x:c>
      <x:c r="G10" s="63" t="str">
        <x:v>Define the useful-output review rubric.</x:v>
      </x:c>
      <x:c r="H10" s="63" t="str">
        <x:v>Not Started</x:v>
      </x:c>
      <x:c r="I10" s="75" t="str"/>
      <x:c r="J10" s="63" t="str"/>
      <x:c r="K10" s="63" t="str"/>
      <x:c r="L10" s="63" t="str"/>
      <x:c r="M10" s="63" t="str"/>
      <x:c r="N10" s="63" t="str">
        <x:v>Outputs reviewed (#); Useful-output rate (%); Outputs requiring correction (%); Critical failure rate (%)</x:v>
      </x:c>
      <x:c r="O10" s="63" t="str">
        <x:v>Medium</x:v>
      </x:c>
      <x:c r="P10" s="63" t="str"/>
      <x:c r="Q10" s="66" t="n">
        <x:f>IF(H10="Completed",1,IF(H10="In Progress",0.5,0))</x:f>
        <x:v>0</x:v>
      </x:c>
      <x:c r="R10" s="75" t="str"/>
    </x:row>
    <x:row r="11">
      <x:c r="A11" s="63" t="str">
        <x:v>P01-PRO-T02</x:v>
      </x:c>
      <x:c r="B11" s="63" t="str">
        <x:v>Foundation</x:v>
      </x:c>
      <x:c r="C11" s="63" t="str">
        <x:v>AUG-OCT 2026</x:v>
      </x:c>
      <x:c r="D11" s="63" t="str">
        <x:v>PRODUCT</x:v>
      </x:c>
      <x:c r="E11" s="63" t="str">
        <x:v>Useful-output rate</x:v>
      </x:c>
      <x:c r="F11" s="63" t="str">
        <x:v>CTO</x:v>
      </x:c>
      <x:c r="G11" s="63" t="str">
        <x:v>Instrument quality and correction tracking.</x:v>
      </x:c>
      <x:c r="H11" s="63" t="str">
        <x:v>Not Started</x:v>
      </x:c>
      <x:c r="I11" s="75" t="str"/>
      <x:c r="J11" s="63" t="str"/>
      <x:c r="K11" s="63" t="str"/>
      <x:c r="L11" s="63" t="str"/>
      <x:c r="M11" s="63" t="str"/>
      <x:c r="N11" s="63" t="str">
        <x:v>Outputs reviewed (#); Useful-output rate (%); Outputs requiring correction (%); Critical failure rate (%)</x:v>
      </x:c>
      <x:c r="O11" s="63" t="str">
        <x:v>Medium</x:v>
      </x:c>
      <x:c r="P11" s="63" t="str"/>
      <x:c r="Q11" s="66" t="n">
        <x:f>IF(H11="Completed",1,IF(H11="In Progress",0.5,0))</x:f>
        <x:v>0</x:v>
      </x:c>
      <x:c r="R11" s="75" t="str"/>
    </x:row>
    <x:row r="12">
      <x:c r="A12" s="63" t="str">
        <x:v>P01-PRO-T03</x:v>
      </x:c>
      <x:c r="B12" s="63" t="str">
        <x:v>Foundation</x:v>
      </x:c>
      <x:c r="C12" s="63" t="str">
        <x:v>AUG-OCT 2026</x:v>
      </x:c>
      <x:c r="D12" s="63" t="str">
        <x:v>PRODUCT</x:v>
      </x:c>
      <x:c r="E12" s="63" t="str">
        <x:v>Useful-output rate</x:v>
      </x:c>
      <x:c r="F12" s="63" t="str">
        <x:v>CTO</x:v>
      </x:c>
      <x:c r="G12" s="63" t="str">
        <x:v>Resolve the highest-frequency failure cases.</x:v>
      </x:c>
      <x:c r="H12" s="63" t="str">
        <x:v>Not Started</x:v>
      </x:c>
      <x:c r="I12" s="75" t="str"/>
      <x:c r="J12" s="63" t="str"/>
      <x:c r="K12" s="63" t="str"/>
      <x:c r="L12" s="63" t="str"/>
      <x:c r="M12" s="63" t="str"/>
      <x:c r="N12" s="63" t="str">
        <x:v>Outputs reviewed (#); Useful-output rate (%); Outputs requiring correction (%); Critical failure rate (%)</x:v>
      </x:c>
      <x:c r="O12" s="63" t="str">
        <x:v>Medium</x:v>
      </x:c>
      <x:c r="P12" s="63" t="str"/>
      <x:c r="Q12" s="66" t="n">
        <x:f>IF(H12="Completed",1,IF(H12="In Progress",0.5,0))</x:f>
        <x:v>0</x:v>
      </x:c>
      <x:c r="R12" s="75" t="str"/>
    </x:row>
    <x:row r="13">
      <x:c r="A13" s="63" t="str">
        <x:v>P01-PRO-T04</x:v>
      </x:c>
      <x:c r="B13" s="63" t="str">
        <x:v>Foundation</x:v>
      </x:c>
      <x:c r="C13" s="63" t="str">
        <x:v>AUG-OCT 2026</x:v>
      </x:c>
      <x:c r="D13" s="63" t="str">
        <x:v>PRODUCT</x:v>
      </x:c>
      <x:c r="E13" s="63" t="str">
        <x:v>Useful-output rate</x:v>
      </x:c>
      <x:c r="F13" s="63" t="str">
        <x:v>CTO</x:v>
      </x:c>
      <x:c r="G13" s="63" t="str">
        <x:v>Complete privacy and audit controls for pilot data.</x:v>
      </x:c>
      <x:c r="H13" s="63" t="str">
        <x:v>Not Started</x:v>
      </x:c>
      <x:c r="I13" s="75" t="str"/>
      <x:c r="J13" s="63" t="str"/>
      <x:c r="K13" s="63" t="str"/>
      <x:c r="L13" s="63" t="str"/>
      <x:c r="M13" s="63" t="str"/>
      <x:c r="N13" s="63" t="str">
        <x:v>Outputs reviewed (#); Useful-output rate (%); Outputs requiring correction (%); Critical failure rate (%)</x:v>
      </x:c>
      <x:c r="O13" s="63" t="str">
        <x:v>Medium</x:v>
      </x:c>
      <x:c r="P13" s="63" t="str"/>
      <x:c r="Q13" s="66" t="n">
        <x:f>IF(H13="Completed",1,IF(H13="In Progress",0.5,0))</x:f>
        <x:v>0</x:v>
      </x:c>
      <x:c r="R13" s="75" t="str"/>
    </x:row>
    <x:row r="14">
      <x:c r="A14" s="63" t="str">
        <x:v>P01-SUC-T01</x:v>
      </x:c>
      <x:c r="B14" s="63" t="str">
        <x:v>Foundation</x:v>
      </x:c>
      <x:c r="C14" s="63" t="str">
        <x:v>AUG-OCT 2026</x:v>
      </x:c>
      <x:c r="D14" s="63" t="str">
        <x:v>SUCCESS</x:v>
      </x:c>
      <x:c r="E14" s="63" t="str">
        <x:v>Time to first value</x:v>
      </x:c>
      <x:c r="F14" s="63" t="str">
        <x:v>COO</x:v>
      </x:c>
      <x:c r="G14" s="63" t="str">
        <x:v>Create the owner onboarding checklist.</x:v>
      </x:c>
      <x:c r="H14" s="63" t="str">
        <x:v>Not Started</x:v>
      </x:c>
      <x:c r="I14" s="75" t="str"/>
      <x:c r="J14" s="63" t="str"/>
      <x:c r="K14" s="63" t="str"/>
      <x:c r="L14" s="63" t="str"/>
      <x:c r="M14" s="63" t="str"/>
      <x:c r="N14" s="63" t="str">
        <x:v>Median time to first value (minutes); Onboarding completion rate (%); First-session success rate (%); Setups requiring assistance (%)</x:v>
      </x:c>
      <x:c r="O14" s="63" t="str">
        <x:v>Medium</x:v>
      </x:c>
      <x:c r="P14" s="63" t="str"/>
      <x:c r="Q14" s="66" t="n">
        <x:f>IF(H14="Completed",1,IF(H14="In Progress",0.5,0))</x:f>
        <x:v>0</x:v>
      </x:c>
      <x:c r="R14" s="75" t="str"/>
    </x:row>
    <x:row r="15">
      <x:c r="A15" s="63" t="str">
        <x:v>P01-SUC-T02</x:v>
      </x:c>
      <x:c r="B15" s="63" t="str">
        <x:v>Foundation</x:v>
      </x:c>
      <x:c r="C15" s="63" t="str">
        <x:v>AUG-OCT 2026</x:v>
      </x:c>
      <x:c r="D15" s="63" t="str">
        <x:v>SUCCESS</x:v>
      </x:c>
      <x:c r="E15" s="63" t="str">
        <x:v>Time to first value</x:v>
      </x:c>
      <x:c r="F15" s="63" t="str">
        <x:v>COO</x:v>
      </x:c>
      <x:c r="G15" s="63" t="str">
        <x:v>Measure setup time for every pilot.</x:v>
      </x:c>
      <x:c r="H15" s="63" t="str">
        <x:v>Not Started</x:v>
      </x:c>
      <x:c r="I15" s="75" t="str"/>
      <x:c r="J15" s="63" t="str"/>
      <x:c r="K15" s="63" t="str"/>
      <x:c r="L15" s="63" t="str"/>
      <x:c r="M15" s="63" t="str"/>
      <x:c r="N15" s="63" t="str">
        <x:v>Median time to first value (minutes); Onboarding completion rate (%); First-session success rate (%); Setups requiring assistance (%)</x:v>
      </x:c>
      <x:c r="O15" s="63" t="str">
        <x:v>Medium</x:v>
      </x:c>
      <x:c r="P15" s="63" t="str"/>
      <x:c r="Q15" s="66" t="n">
        <x:f>IF(H15="Completed",1,IF(H15="In Progress",0.5,0))</x:f>
        <x:v>0</x:v>
      </x:c>
      <x:c r="R15" s="75" t="str"/>
    </x:row>
    <x:row r="16">
      <x:c r="A16" s="63" t="str">
        <x:v>P01-SUC-T03</x:v>
      </x:c>
      <x:c r="B16" s="63" t="str">
        <x:v>Foundation</x:v>
      </x:c>
      <x:c r="C16" s="63" t="str">
        <x:v>AUG-OCT 2026</x:v>
      </x:c>
      <x:c r="D16" s="63" t="str">
        <x:v>SUCCESS</x:v>
      </x:c>
      <x:c r="E16" s="63" t="str">
        <x:v>Time to first value</x:v>
      </x:c>
      <x:c r="F16" s="63" t="str">
        <x:v>COO</x:v>
      </x:c>
      <x:c r="G16" s="63" t="str">
        <x:v>Remove unnecessary onboarding steps.</x:v>
      </x:c>
      <x:c r="H16" s="63" t="str">
        <x:v>Not Started</x:v>
      </x:c>
      <x:c r="I16" s="75" t="str"/>
      <x:c r="J16" s="63" t="str"/>
      <x:c r="K16" s="63" t="str"/>
      <x:c r="L16" s="63" t="str"/>
      <x:c r="M16" s="63" t="str"/>
      <x:c r="N16" s="63" t="str">
        <x:v>Median time to first value (minutes); Onboarding completion rate (%); First-session success rate (%); Setups requiring assistance (%)</x:v>
      </x:c>
      <x:c r="O16" s="63" t="str">
        <x:v>Medium</x:v>
      </x:c>
      <x:c r="P16" s="63" t="str"/>
      <x:c r="Q16" s="66" t="n">
        <x:f>IF(H16="Completed",1,IF(H16="In Progress",0.5,0))</x:f>
        <x:v>0</x:v>
      </x:c>
      <x:c r="R16" s="75" t="str"/>
    </x:row>
    <x:row r="17">
      <x:c r="A17" s="63" t="str">
        <x:v>P01-SUC-T04</x:v>
      </x:c>
      <x:c r="B17" s="63" t="str">
        <x:v>Foundation</x:v>
      </x:c>
      <x:c r="C17" s="63" t="str">
        <x:v>AUG-OCT 2026</x:v>
      </x:c>
      <x:c r="D17" s="63" t="str">
        <x:v>SUCCESS</x:v>
      </x:c>
      <x:c r="E17" s="63" t="str">
        <x:v>Time to first value</x:v>
      </x:c>
      <x:c r="F17" s="63" t="str">
        <x:v>COO</x:v>
      </x:c>
      <x:c r="G17" s="63" t="str">
        <x:v>Collect feedback after the first successful session.</x:v>
      </x:c>
      <x:c r="H17" s="63" t="str">
        <x:v>Not Started</x:v>
      </x:c>
      <x:c r="I17" s="75" t="str"/>
      <x:c r="J17" s="63" t="str"/>
      <x:c r="K17" s="63" t="str"/>
      <x:c r="L17" s="63" t="str"/>
      <x:c r="M17" s="63" t="str"/>
      <x:c r="N17" s="63" t="str">
        <x:v>Median time to first value (minutes); Onboarding completion rate (%); First-session success rate (%); Setups requiring assistance (%)</x:v>
      </x:c>
      <x:c r="O17" s="63" t="str">
        <x:v>Medium</x:v>
      </x:c>
      <x:c r="P17" s="63" t="str"/>
      <x:c r="Q17" s="66" t="n">
        <x:f>IF(H17="Completed",1,IF(H17="In Progress",0.5,0))</x:f>
        <x:v>0</x:v>
      </x:c>
      <x:c r="R17" s="75" t="str"/>
    </x:row>
    <x:row r="18">
      <x:c r="A18" s="63" t="str">
        <x:v>P02-PRI-T01</x:v>
      </x:c>
      <x:c r="B18" s="63" t="str">
        <x:v>Validation</x:v>
      </x:c>
      <x:c r="C18" s="63" t="str">
        <x:v>NOV 2026-JAN 2027</x:v>
      </x:c>
      <x:c r="D18" s="63" t="str">
        <x:v>PRICING</x:v>
      </x:c>
      <x:c r="E18" s="63" t="str">
        <x:v>Pilot-to-paid conversion</x:v>
      </x:c>
      <x:c r="F18" s="63" t="str">
        <x:v>CEO</x:v>
      </x:c>
      <x:c r="G18" s="63" t="str">
        <x:v>Run structured pilot exit and conversion calls.</x:v>
      </x:c>
      <x:c r="H18" s="63" t="str">
        <x:v>Not Started</x:v>
      </x:c>
      <x:c r="I18" s="75" t="str"/>
      <x:c r="J18" s="63" t="str"/>
      <x:c r="K18" s="63" t="str"/>
      <x:c r="L18" s="63" t="str"/>
      <x:c r="M18" s="63" t="str"/>
      <x:c r="N18" s="63" t="str">
        <x:v>Completed pilots (#); Paid conversions (# and %); Average initial contract value ($); Median conversion cycle (days)</x:v>
      </x:c>
      <x:c r="O18" s="63" t="str">
        <x:v>Medium</x:v>
      </x:c>
      <x:c r="P18" s="63" t="str"/>
      <x:c r="Q18" s="66" t="n">
        <x:f>IF(H18="Completed",1,IF(H18="In Progress",0.5,0))</x:f>
        <x:v>0</x:v>
      </x:c>
      <x:c r="R18" s="75" t="str"/>
    </x:row>
    <x:row r="19">
      <x:c r="A19" s="63" t="str">
        <x:v>P02-PRI-T02</x:v>
      </x:c>
      <x:c r="B19" s="63" t="str">
        <x:v>Validation</x:v>
      </x:c>
      <x:c r="C19" s="63" t="str">
        <x:v>NOV 2026-JAN 2027</x:v>
      </x:c>
      <x:c r="D19" s="63" t="str">
        <x:v>PRICING</x:v>
      </x:c>
      <x:c r="E19" s="63" t="str">
        <x:v>Pilot-to-paid conversion</x:v>
      </x:c>
      <x:c r="F19" s="63" t="str">
        <x:v>CEO</x:v>
      </x:c>
      <x:c r="G19" s="63" t="str">
        <x:v>Package verified ROI evidence for each account.</x:v>
      </x:c>
      <x:c r="H19" s="63" t="str">
        <x:v>Not Started</x:v>
      </x:c>
      <x:c r="I19" s="75" t="str"/>
      <x:c r="J19" s="63" t="str"/>
      <x:c r="K19" s="63" t="str"/>
      <x:c r="L19" s="63" t="str"/>
      <x:c r="M19" s="63" t="str"/>
      <x:c r="N19" s="63" t="str">
        <x:v>Completed pilots (#); Paid conversions (# and %); Average initial contract value ($); Median conversion cycle (days)</x:v>
      </x:c>
      <x:c r="O19" s="63" t="str">
        <x:v>Medium</x:v>
      </x:c>
      <x:c r="P19" s="63" t="str"/>
      <x:c r="Q19" s="66" t="n">
        <x:f>IF(H19="Completed",1,IF(H19="In Progress",0.5,0))</x:f>
        <x:v>0</x:v>
      </x:c>
      <x:c r="R19" s="75" t="str"/>
    </x:row>
    <x:row r="20">
      <x:c r="A20" s="63" t="str">
        <x:v>P02-PRI-T03</x:v>
      </x:c>
      <x:c r="B20" s="63" t="str">
        <x:v>Validation</x:v>
      </x:c>
      <x:c r="C20" s="63" t="str">
        <x:v>NOV 2026-JAN 2027</x:v>
      </x:c>
      <x:c r="D20" s="63" t="str">
        <x:v>PRICING</x:v>
      </x:c>
      <x:c r="E20" s="63" t="str">
        <x:v>Pilot-to-paid conversion</x:v>
      </x:c>
      <x:c r="F20" s="63" t="str">
        <x:v>CEO</x:v>
      </x:c>
      <x:c r="G20" s="63" t="str">
        <x:v>Test monthly and annual payment options.</x:v>
      </x:c>
      <x:c r="H20" s="63" t="str">
        <x:v>Not Started</x:v>
      </x:c>
      <x:c r="I20" s="75" t="str"/>
      <x:c r="J20" s="63" t="str"/>
      <x:c r="K20" s="63" t="str"/>
      <x:c r="L20" s="63" t="str"/>
      <x:c r="M20" s="63" t="str"/>
      <x:c r="N20" s="63" t="str">
        <x:v>Completed pilots (#); Paid conversions (# and %); Average initial contract value ($); Median conversion cycle (days)</x:v>
      </x:c>
      <x:c r="O20" s="63" t="str">
        <x:v>Medium</x:v>
      </x:c>
      <x:c r="P20" s="63" t="str"/>
      <x:c r="Q20" s="66" t="n">
        <x:f>IF(H20="Completed",1,IF(H20="In Progress",0.5,0))</x:f>
        <x:v>0</x:v>
      </x:c>
      <x:c r="R20" s="75" t="str"/>
    </x:row>
    <x:row r="21">
      <x:c r="A21" s="63" t="str">
        <x:v>P02-PRI-T04</x:v>
      </x:c>
      <x:c r="B21" s="63" t="str">
        <x:v>Validation</x:v>
      </x:c>
      <x:c r="C21" s="63" t="str">
        <x:v>NOV 2026-JAN 2027</x:v>
      </x:c>
      <x:c r="D21" s="63" t="str">
        <x:v>PRICING</x:v>
      </x:c>
      <x:c r="E21" s="63" t="str">
        <x:v>Pilot-to-paid conversion</x:v>
      </x:c>
      <x:c r="F21" s="63" t="str">
        <x:v>CEO</x:v>
      </x:c>
      <x:c r="G21" s="63" t="str">
        <x:v>Review every lost conversion and update the offer.</x:v>
      </x:c>
      <x:c r="H21" s="63" t="str">
        <x:v>Not Started</x:v>
      </x:c>
      <x:c r="I21" s="75" t="str"/>
      <x:c r="J21" s="63" t="str"/>
      <x:c r="K21" s="63" t="str"/>
      <x:c r="L21" s="63" t="str"/>
      <x:c r="M21" s="63" t="str"/>
      <x:c r="N21" s="63" t="str">
        <x:v>Completed pilots (#); Paid conversions (# and %); Average initial contract value ($); Median conversion cycle (days)</x:v>
      </x:c>
      <x:c r="O21" s="63" t="str">
        <x:v>Medium</x:v>
      </x:c>
      <x:c r="P21" s="63" t="str"/>
      <x:c r="Q21" s="66" t="n">
        <x:f>IF(H21="Completed",1,IF(H21="In Progress",0.5,0))</x:f>
        <x:v>0</x:v>
      </x:c>
      <x:c r="R21" s="75" t="str"/>
    </x:row>
    <x:row r="22">
      <x:c r="A22" s="63" t="str">
        <x:v>P02-PRO-T01</x:v>
      </x:c>
      <x:c r="B22" s="63" t="str">
        <x:v>Validation</x:v>
      </x:c>
      <x:c r="C22" s="63" t="str">
        <x:v>NOV 2026-JAN 2027</x:v>
      </x:c>
      <x:c r="D22" s="63" t="str">
        <x:v>PRODUCT</x:v>
      </x:c>
      <x:c r="E22" s="63" t="str">
        <x:v>Four-week team retention</x:v>
      </x:c>
      <x:c r="F22" s="63" t="str">
        <x:v>CTO</x:v>
      </x:c>
      <x:c r="G22" s="63" t="str">
        <x:v>Define meaningful weekly team activity.</x:v>
      </x:c>
      <x:c r="H22" s="63" t="str">
        <x:v>Not Started</x:v>
      </x:c>
      <x:c r="I22" s="75" t="str"/>
      <x:c r="J22" s="63" t="str"/>
      <x:c r="K22" s="63" t="str"/>
      <x:c r="L22" s="63" t="str"/>
      <x:c r="M22" s="63" t="str"/>
      <x:c r="N22" s="63" t="str">
        <x:v>Activated teams by cohort (#); Four- or eight-week retention (%); Weekly active team rate (%); Meaningful workflows per team (#)</x:v>
      </x:c>
      <x:c r="O22" s="63" t="str">
        <x:v>Medium</x:v>
      </x:c>
      <x:c r="P22" s="63" t="str"/>
      <x:c r="Q22" s="66" t="n">
        <x:f>IF(H22="Completed",1,IF(H22="In Progress",0.5,0))</x:f>
        <x:v>0</x:v>
      </x:c>
      <x:c r="R22" s="75" t="str"/>
    </x:row>
    <x:row r="23">
      <x:c r="A23" s="63" t="str">
        <x:v>P02-PRO-T02</x:v>
      </x:c>
      <x:c r="B23" s="63" t="str">
        <x:v>Validation</x:v>
      </x:c>
      <x:c r="C23" s="63" t="str">
        <x:v>NOV 2026-JAN 2027</x:v>
      </x:c>
      <x:c r="D23" s="63" t="str">
        <x:v>PRODUCT</x:v>
      </x:c>
      <x:c r="E23" s="63" t="str">
        <x:v>Four-week team retention</x:v>
      </x:c>
      <x:c r="F23" s="63" t="str">
        <x:v>CTO</x:v>
      </x:c>
      <x:c r="G23" s="63" t="str">
        <x:v>Build cohort retention reporting.</x:v>
      </x:c>
      <x:c r="H23" s="63" t="str">
        <x:v>Not Started</x:v>
      </x:c>
      <x:c r="I23" s="75" t="str"/>
      <x:c r="J23" s="63" t="str"/>
      <x:c r="K23" s="63" t="str"/>
      <x:c r="L23" s="63" t="str"/>
      <x:c r="M23" s="63" t="str"/>
      <x:c r="N23" s="63" t="str">
        <x:v>Activated teams by cohort (#); Four- or eight-week retention (%); Weekly active team rate (%); Meaningful workflows per team (#)</x:v>
      </x:c>
      <x:c r="O23" s="63" t="str">
        <x:v>Medium</x:v>
      </x:c>
      <x:c r="P23" s="63" t="str"/>
      <x:c r="Q23" s="66" t="n">
        <x:f>IF(H23="Completed",1,IF(H23="In Progress",0.5,0))</x:f>
        <x:v>0</x:v>
      </x:c>
      <x:c r="R23" s="75" t="str"/>
    </x:row>
    <x:row r="24">
      <x:c r="A24" s="63" t="str">
        <x:v>P02-PRO-T03</x:v>
      </x:c>
      <x:c r="B24" s="63" t="str">
        <x:v>Validation</x:v>
      </x:c>
      <x:c r="C24" s="63" t="str">
        <x:v>NOV 2026-JAN 2027</x:v>
      </x:c>
      <x:c r="D24" s="63" t="str">
        <x:v>PRODUCT</x:v>
      </x:c>
      <x:c r="E24" s="63" t="str">
        <x:v>Four-week team retention</x:v>
      </x:c>
      <x:c r="F24" s="63" t="str">
        <x:v>CTO</x:v>
      </x:c>
      <x:c r="G24" s="63" t="str">
        <x:v>Improve reminders and follow-up behaviors.</x:v>
      </x:c>
      <x:c r="H24" s="63" t="str">
        <x:v>Not Started</x:v>
      </x:c>
      <x:c r="I24" s="75" t="str"/>
      <x:c r="J24" s="63" t="str"/>
      <x:c r="K24" s="63" t="str"/>
      <x:c r="L24" s="63" t="str"/>
      <x:c r="M24" s="63" t="str"/>
      <x:c r="N24" s="63" t="str">
        <x:v>Activated teams by cohort (#); Four- or eight-week retention (%); Weekly active team rate (%); Meaningful workflows per team (#)</x:v>
      </x:c>
      <x:c r="O24" s="63" t="str">
        <x:v>Medium</x:v>
      </x:c>
      <x:c r="P24" s="63" t="str"/>
      <x:c r="Q24" s="66" t="n">
        <x:f>IF(H24="Completed",1,IF(H24="In Progress",0.5,0))</x:f>
        <x:v>0</x:v>
      </x:c>
      <x:c r="R24" s="75" t="str"/>
    </x:row>
    <x:row r="25">
      <x:c r="A25" s="63" t="str">
        <x:v>P02-PRO-T04</x:v>
      </x:c>
      <x:c r="B25" s="63" t="str">
        <x:v>Validation</x:v>
      </x:c>
      <x:c r="C25" s="63" t="str">
        <x:v>NOV 2026-JAN 2027</x:v>
      </x:c>
      <x:c r="D25" s="63" t="str">
        <x:v>PRODUCT</x:v>
      </x:c>
      <x:c r="E25" s="63" t="str">
        <x:v>Four-week team retention</x:v>
      </x:c>
      <x:c r="F25" s="63" t="str">
        <x:v>CTO</x:v>
      </x:c>
      <x:c r="G25" s="63" t="str">
        <x:v>Prioritize workflows that drive repeated use.</x:v>
      </x:c>
      <x:c r="H25" s="63" t="str">
        <x:v>Not Started</x:v>
      </x:c>
      <x:c r="I25" s="75" t="str"/>
      <x:c r="J25" s="63" t="str"/>
      <x:c r="K25" s="63" t="str"/>
      <x:c r="L25" s="63" t="str"/>
      <x:c r="M25" s="63" t="str"/>
      <x:c r="N25" s="63" t="str">
        <x:v>Activated teams by cohort (#); Four- or eight-week retention (%); Weekly active team rate (%); Meaningful workflows per team (#)</x:v>
      </x:c>
      <x:c r="O25" s="63" t="str">
        <x:v>Medium</x:v>
      </x:c>
      <x:c r="P25" s="63" t="str"/>
      <x:c r="Q25" s="66" t="n">
        <x:f>IF(H25="Completed",1,IF(H25="In Progress",0.5,0))</x:f>
        <x:v>0</x:v>
      </x:c>
      <x:c r="R25" s="75" t="str"/>
    </x:row>
    <x:row r="26">
      <x:c r="A26" s="63" t="str">
        <x:v>P02-SUC-T01</x:v>
      </x:c>
      <x:c r="B26" s="63" t="str">
        <x:v>Validation</x:v>
      </x:c>
      <x:c r="C26" s="63" t="str">
        <x:v>NOV 2026-JAN 2027</x:v>
      </x:c>
      <x:c r="D26" s="63" t="str">
        <x:v>SUCCESS</x:v>
      </x:c>
      <x:c r="E26" s="63" t="str">
        <x:v>Verified hours saved</x:v>
      </x:c>
      <x:c r="F26" s="63" t="str">
        <x:v>COO</x:v>
      </x:c>
      <x:c r="G26" s="63" t="str">
        <x:v>Establish a pre-JasonAI time baseline.</x:v>
      </x:c>
      <x:c r="H26" s="63" t="str">
        <x:v>Not Started</x:v>
      </x:c>
      <x:c r="I26" s="75" t="str"/>
      <x:c r="J26" s="63" t="str"/>
      <x:c r="K26" s="63" t="str"/>
      <x:c r="L26" s="63" t="str"/>
      <x:c r="M26" s="63" t="str"/>
      <x:c r="N26" s="63" t="str">
        <x:v>Verified hours saved per team per week; Customers validating time saved (%); Baseline workflow time (minutes); Post-JasonAI workflow time (minutes)</x:v>
      </x:c>
      <x:c r="O26" s="63" t="str">
        <x:v>Medium</x:v>
      </x:c>
      <x:c r="P26" s="63" t="str"/>
      <x:c r="Q26" s="66" t="n">
        <x:f>IF(H26="Completed",1,IF(H26="In Progress",0.5,0))</x:f>
        <x:v>0</x:v>
      </x:c>
      <x:c r="R26" s="75" t="str"/>
    </x:row>
    <x:row r="27">
      <x:c r="A27" s="63" t="str">
        <x:v>P02-SUC-T02</x:v>
      </x:c>
      <x:c r="B27" s="63" t="str">
        <x:v>Validation</x:v>
      </x:c>
      <x:c r="C27" s="63" t="str">
        <x:v>NOV 2026-JAN 2027</x:v>
      </x:c>
      <x:c r="D27" s="63" t="str">
        <x:v>SUCCESS</x:v>
      </x:c>
      <x:c r="E27" s="63" t="str">
        <x:v>Verified hours saved</x:v>
      </x:c>
      <x:c r="F27" s="63" t="str">
        <x:v>COO</x:v>
      </x:c>
      <x:c r="G27" s="63" t="str">
        <x:v>Run weekly value check-ins with owners.</x:v>
      </x:c>
      <x:c r="H27" s="63" t="str">
        <x:v>Not Started</x:v>
      </x:c>
      <x:c r="I27" s="75" t="str"/>
      <x:c r="J27" s="63" t="str"/>
      <x:c r="K27" s="63" t="str"/>
      <x:c r="L27" s="63" t="str"/>
      <x:c r="M27" s="63" t="str"/>
      <x:c r="N27" s="63" t="str">
        <x:v>Verified hours saved per team per week; Customers validating time saved (%); Baseline workflow time (minutes); Post-JasonAI workflow time (minutes)</x:v>
      </x:c>
      <x:c r="O27" s="63" t="str">
        <x:v>Medium</x:v>
      </x:c>
      <x:c r="P27" s="63" t="str"/>
      <x:c r="Q27" s="66" t="n">
        <x:f>IF(H27="Completed",1,IF(H27="In Progress",0.5,0))</x:f>
        <x:v>0</x:v>
      </x:c>
      <x:c r="R27" s="75" t="str"/>
    </x:row>
    <x:row r="28">
      <x:c r="A28" s="63" t="str">
        <x:v>P02-SUC-T03</x:v>
      </x:c>
      <x:c r="B28" s="63" t="str">
        <x:v>Validation</x:v>
      </x:c>
      <x:c r="C28" s="63" t="str">
        <x:v>NOV 2026-JAN 2027</x:v>
      </x:c>
      <x:c r="D28" s="63" t="str">
        <x:v>SUCCESS</x:v>
      </x:c>
      <x:c r="E28" s="63" t="str">
        <x:v>Verified hours saved</x:v>
      </x:c>
      <x:c r="F28" s="63" t="str">
        <x:v>COO</x:v>
      </x:c>
      <x:c r="G28" s="63" t="str">
        <x:v>Validate time-saved claims with each account.</x:v>
      </x:c>
      <x:c r="H28" s="63" t="str">
        <x:v>Not Started</x:v>
      </x:c>
      <x:c r="I28" s="75" t="str"/>
      <x:c r="J28" s="63" t="str"/>
      <x:c r="K28" s="63" t="str"/>
      <x:c r="L28" s="63" t="str"/>
      <x:c r="M28" s="63" t="str"/>
      <x:c r="N28" s="63" t="str">
        <x:v>Verified hours saved per team per week; Customers validating time saved (%); Baseline workflow time (minutes); Post-JasonAI workflow time (minutes)</x:v>
      </x:c>
      <x:c r="O28" s="63" t="str">
        <x:v>Medium</x:v>
      </x:c>
      <x:c r="P28" s="63" t="str"/>
      <x:c r="Q28" s="66" t="n">
        <x:f>IF(H28="Completed",1,IF(H28="In Progress",0.5,0))</x:f>
        <x:v>0</x:v>
      </x:c>
      <x:c r="R28" s="75" t="str"/>
    </x:row>
    <x:row r="29">
      <x:c r="A29" s="63" t="str">
        <x:v>P02-SUC-T04</x:v>
      </x:c>
      <x:c r="B29" s="63" t="str">
        <x:v>Validation</x:v>
      </x:c>
      <x:c r="C29" s="63" t="str">
        <x:v>NOV 2026-JAN 2027</x:v>
      </x:c>
      <x:c r="D29" s="63" t="str">
        <x:v>SUCCESS</x:v>
      </x:c>
      <x:c r="E29" s="63" t="str">
        <x:v>Verified hours saved</x:v>
      </x:c>
      <x:c r="F29" s="63" t="str">
        <x:v>COO</x:v>
      </x:c>
      <x:c r="G29" s="63" t="str">
        <x:v>Issue a monthly value summary.</x:v>
      </x:c>
      <x:c r="H29" s="63" t="str">
        <x:v>Not Started</x:v>
      </x:c>
      <x:c r="I29" s="75" t="str"/>
      <x:c r="J29" s="63" t="str"/>
      <x:c r="K29" s="63" t="str"/>
      <x:c r="L29" s="63" t="str"/>
      <x:c r="M29" s="63" t="str"/>
      <x:c r="N29" s="63" t="str">
        <x:v>Verified hours saved per team per week; Customers validating time saved (%); Baseline workflow time (minutes); Post-JasonAI workflow time (minutes)</x:v>
      </x:c>
      <x:c r="O29" s="63" t="str">
        <x:v>Medium</x:v>
      </x:c>
      <x:c r="P29" s="63" t="str"/>
      <x:c r="Q29" s="66" t="n">
        <x:f>IF(H29="Completed",1,IF(H29="In Progress",0.5,0))</x:f>
        <x:v>0</x:v>
      </x:c>
      <x:c r="R29" s="75" t="str"/>
    </x:row>
    <x:row r="30">
      <x:c r="A30" s="63" t="str">
        <x:v>P03-PRI-T01</x:v>
      </x:c>
      <x:c r="B30" s="63" t="str">
        <x:v>Inflection</x:v>
      </x:c>
      <x:c r="C30" s="63" t="str">
        <x:v>FEB-JUL 2027</x:v>
      </x:c>
      <x:c r="D30" s="63" t="str">
        <x:v>PRICING</x:v>
      </x:c>
      <x:c r="E30" s="63" t="str">
        <x:v>Average revenue per team</x:v>
      </x:c>
      <x:c r="F30" s="63" t="str">
        <x:v>CEO</x:v>
      </x:c>
      <x:c r="G30" s="63" t="str">
        <x:v>Launch tiered, value-based pricing.</x:v>
      </x:c>
      <x:c r="H30" s="63" t="str">
        <x:v>Not Started</x:v>
      </x:c>
      <x:c r="I30" s="75" t="str"/>
      <x:c r="J30" s="63" t="str"/>
      <x:c r="K30" s="63" t="str"/>
      <x:c r="L30" s="63" t="str"/>
      <x:c r="M30" s="63" t="str"/>
      <x:c r="N30" s="63" t="str">
        <x:v>Average monthly revenue per team ($); Expansion revenue per team ($); Discount rate (%); Realized price by package ($)</x:v>
      </x:c>
      <x:c r="O30" s="63" t="str">
        <x:v>Medium</x:v>
      </x:c>
      <x:c r="P30" s="63" t="str"/>
      <x:c r="Q30" s="66" t="n">
        <x:f>IF(H30="Completed",1,IF(H30="In Progress",0.5,0))</x:f>
        <x:v>0</x:v>
      </x:c>
      <x:c r="R30" s="75" t="str"/>
    </x:row>
    <x:row r="31">
      <x:c r="A31" s="63" t="str">
        <x:v>P03-PRI-T02</x:v>
      </x:c>
      <x:c r="B31" s="63" t="str">
        <x:v>Inflection</x:v>
      </x:c>
      <x:c r="C31" s="63" t="str">
        <x:v>FEB-JUL 2027</x:v>
      </x:c>
      <x:c r="D31" s="63" t="str">
        <x:v>PRICING</x:v>
      </x:c>
      <x:c r="E31" s="63" t="str">
        <x:v>Average revenue per team</x:v>
      </x:c>
      <x:c r="F31" s="63" t="str">
        <x:v>CEO</x:v>
      </x:c>
      <x:c r="G31" s="63" t="str">
        <x:v>Identify and sell usage-expansion triggers.</x:v>
      </x:c>
      <x:c r="H31" s="63" t="str">
        <x:v>Not Started</x:v>
      </x:c>
      <x:c r="I31" s="75" t="str"/>
      <x:c r="J31" s="63" t="str"/>
      <x:c r="K31" s="63" t="str"/>
      <x:c r="L31" s="63" t="str"/>
      <x:c r="M31" s="63" t="str"/>
      <x:c r="N31" s="63" t="str">
        <x:v>Average monthly revenue per team ($); Expansion revenue per team ($); Discount rate (%); Realized price by package ($)</x:v>
      </x:c>
      <x:c r="O31" s="63" t="str">
        <x:v>Medium</x:v>
      </x:c>
      <x:c r="P31" s="63" t="str"/>
      <x:c r="Q31" s="66" t="n">
        <x:f>IF(H31="Completed",1,IF(H31="In Progress",0.5,0))</x:f>
        <x:v>0</x:v>
      </x:c>
      <x:c r="R31" s="75" t="str"/>
    </x:row>
    <x:row r="32">
      <x:c r="A32" s="63" t="str">
        <x:v>P03-PRI-T03</x:v>
      </x:c>
      <x:c r="B32" s="63" t="str">
        <x:v>Inflection</x:v>
      </x:c>
      <x:c r="C32" s="63" t="str">
        <x:v>FEB-JUL 2027</x:v>
      </x:c>
      <x:c r="D32" s="63" t="str">
        <x:v>PRICING</x:v>
      </x:c>
      <x:c r="E32" s="63" t="str">
        <x:v>Average revenue per team</x:v>
      </x:c>
      <x:c r="F32" s="63" t="str">
        <x:v>CEO</x:v>
      </x:c>
      <x:c r="G32" s="63" t="str">
        <x:v>Track discounts and realized revenue.</x:v>
      </x:c>
      <x:c r="H32" s="63" t="str">
        <x:v>Not Started</x:v>
      </x:c>
      <x:c r="I32" s="75" t="str"/>
      <x:c r="J32" s="63" t="str"/>
      <x:c r="K32" s="63" t="str"/>
      <x:c r="L32" s="63" t="str"/>
      <x:c r="M32" s="63" t="str"/>
      <x:c r="N32" s="63" t="str">
        <x:v>Average monthly revenue per team ($); Expansion revenue per team ($); Discount rate (%); Realized price by package ($)</x:v>
      </x:c>
      <x:c r="O32" s="63" t="str">
        <x:v>Medium</x:v>
      </x:c>
      <x:c r="P32" s="63" t="str"/>
      <x:c r="Q32" s="66" t="n">
        <x:f>IF(H32="Completed",1,IF(H32="In Progress",0.5,0))</x:f>
        <x:v>0</x:v>
      </x:c>
      <x:c r="R32" s="75" t="str"/>
    </x:row>
    <x:row r="33">
      <x:c r="A33" s="63" t="str">
        <x:v>P03-PRI-T04</x:v>
      </x:c>
      <x:c r="B33" s="63" t="str">
        <x:v>Inflection</x:v>
      </x:c>
      <x:c r="C33" s="63" t="str">
        <x:v>FEB-JUL 2027</x:v>
      </x:c>
      <x:c r="D33" s="63" t="str">
        <x:v>PRICING</x:v>
      </x:c>
      <x:c r="E33" s="63" t="str">
        <x:v>Average revenue per team</x:v>
      </x:c>
      <x:c r="F33" s="63" t="str">
        <x:v>CEO</x:v>
      </x:c>
      <x:c r="G33" s="63" t="str">
        <x:v>Package ROI evidence for higher-value tiers.</x:v>
      </x:c>
      <x:c r="H33" s="63" t="str">
        <x:v>Not Started</x:v>
      </x:c>
      <x:c r="I33" s="75" t="str"/>
      <x:c r="J33" s="63" t="str"/>
      <x:c r="K33" s="63" t="str"/>
      <x:c r="L33" s="63" t="str"/>
      <x:c r="M33" s="63" t="str"/>
      <x:c r="N33" s="63" t="str">
        <x:v>Average monthly revenue per team ($); Expansion revenue per team ($); Discount rate (%); Realized price by package ($)</x:v>
      </x:c>
      <x:c r="O33" s="63" t="str">
        <x:v>Medium</x:v>
      </x:c>
      <x:c r="P33" s="63" t="str"/>
      <x:c r="Q33" s="66" t="n">
        <x:f>IF(H33="Completed",1,IF(H33="In Progress",0.5,0))</x:f>
        <x:v>0</x:v>
      </x:c>
      <x:c r="R33" s="75" t="str"/>
    </x:row>
    <x:row r="34">
      <x:c r="A34" s="63" t="str">
        <x:v>P03-PRO-T01</x:v>
      </x:c>
      <x:c r="B34" s="63" t="str">
        <x:v>Inflection</x:v>
      </x:c>
      <x:c r="C34" s="63" t="str">
        <x:v>FEB-JUL 2027</x:v>
      </x:c>
      <x:c r="D34" s="63" t="str">
        <x:v>PRODUCT</x:v>
      </x:c>
      <x:c r="E34" s="63" t="str">
        <x:v>Eight-week retention</x:v>
      </x:c>
      <x:c r="F34" s="63" t="str">
        <x:v>CTO</x:v>
      </x:c>
      <x:c r="G34" s="63" t="str">
        <x:v>Instrument eight-week retention cohorts.</x:v>
      </x:c>
      <x:c r="H34" s="63" t="str">
        <x:v>Not Started</x:v>
      </x:c>
      <x:c r="I34" s="75" t="str"/>
      <x:c r="J34" s="63" t="str"/>
      <x:c r="K34" s="63" t="str"/>
      <x:c r="L34" s="63" t="str"/>
      <x:c r="M34" s="63" t="str"/>
      <x:c r="N34" s="63" t="str">
        <x:v>Activated teams by cohort (#); Four- or eight-week retention (%); Weekly active team rate (%); Meaningful workflows per team (#)</x:v>
      </x:c>
      <x:c r="O34" s="63" t="str">
        <x:v>Medium</x:v>
      </x:c>
      <x:c r="P34" s="63" t="str"/>
      <x:c r="Q34" s="66" t="n">
        <x:f>IF(H34="Completed",1,IF(H34="In Progress",0.5,0))</x:f>
        <x:v>0</x:v>
      </x:c>
      <x:c r="R34" s="75" t="str"/>
    </x:row>
    <x:row r="35">
      <x:c r="A35" s="63" t="str">
        <x:v>P03-PRO-T02</x:v>
      </x:c>
      <x:c r="B35" s="63" t="str">
        <x:v>Inflection</x:v>
      </x:c>
      <x:c r="C35" s="63" t="str">
        <x:v>FEB-JUL 2027</x:v>
      </x:c>
      <x:c r="D35" s="63" t="str">
        <x:v>PRODUCT</x:v>
      </x:c>
      <x:c r="E35" s="63" t="str">
        <x:v>Eight-week retention</x:v>
      </x:c>
      <x:c r="F35" s="63" t="str">
        <x:v>CTO</x:v>
      </x:c>
      <x:c r="G35" s="63" t="str">
        <x:v>Ship the owner dashboard and ROI view.</x:v>
      </x:c>
      <x:c r="H35" s="63" t="str">
        <x:v>Not Started</x:v>
      </x:c>
      <x:c r="I35" s="75" t="str"/>
      <x:c r="J35" s="63" t="str"/>
      <x:c r="K35" s="63" t="str"/>
      <x:c r="L35" s="63" t="str"/>
      <x:c r="M35" s="63" t="str"/>
      <x:c r="N35" s="63" t="str">
        <x:v>Activated teams by cohort (#); Four- or eight-week retention (%); Weekly active team rate (%); Meaningful workflows per team (#)</x:v>
      </x:c>
      <x:c r="O35" s="63" t="str">
        <x:v>Medium</x:v>
      </x:c>
      <x:c r="P35" s="63" t="str"/>
      <x:c r="Q35" s="66" t="n">
        <x:f>IF(H35="Completed",1,IF(H35="In Progress",0.5,0))</x:f>
        <x:v>0</x:v>
      </x:c>
      <x:c r="R35" s="75" t="str"/>
    </x:row>
    <x:row r="36">
      <x:c r="A36" s="63" t="str">
        <x:v>P03-PRO-T03</x:v>
      </x:c>
      <x:c r="B36" s="63" t="str">
        <x:v>Inflection</x:v>
      </x:c>
      <x:c r="C36" s="63" t="str">
        <x:v>FEB-JUL 2027</x:v>
      </x:c>
      <x:c r="D36" s="63" t="str">
        <x:v>PRODUCT</x:v>
      </x:c>
      <x:c r="E36" s="63" t="str">
        <x:v>Eight-week retention</x:v>
      </x:c>
      <x:c r="F36" s="63" t="str">
        <x:v>CTO</x:v>
      </x:c>
      <x:c r="G36" s="63" t="str">
        <x:v>Automate high-value follow-up workflows.</x:v>
      </x:c>
      <x:c r="H36" s="63" t="str">
        <x:v>Not Started</x:v>
      </x:c>
      <x:c r="I36" s="75" t="str"/>
      <x:c r="J36" s="63" t="str"/>
      <x:c r="K36" s="63" t="str"/>
      <x:c r="L36" s="63" t="str"/>
      <x:c r="M36" s="63" t="str"/>
      <x:c r="N36" s="63" t="str">
        <x:v>Activated teams by cohort (#); Four- or eight-week retention (%); Weekly active team rate (%); Meaningful workflows per team (#)</x:v>
      </x:c>
      <x:c r="O36" s="63" t="str">
        <x:v>Medium</x:v>
      </x:c>
      <x:c r="P36" s="63" t="str"/>
      <x:c r="Q36" s="66" t="n">
        <x:f>IF(H36="Completed",1,IF(H36="In Progress",0.5,0))</x:f>
        <x:v>0</x:v>
      </x:c>
      <x:c r="R36" s="75" t="str"/>
    </x:row>
    <x:row r="37">
      <x:c r="A37" s="63" t="str">
        <x:v>P03-PRO-T04</x:v>
      </x:c>
      <x:c r="B37" s="63" t="str">
        <x:v>Inflection</x:v>
      </x:c>
      <x:c r="C37" s="63" t="str">
        <x:v>FEB-JUL 2027</x:v>
      </x:c>
      <x:c r="D37" s="63" t="str">
        <x:v>PRODUCT</x:v>
      </x:c>
      <x:c r="E37" s="63" t="str">
        <x:v>Eight-week retention</x:v>
      </x:c>
      <x:c r="F37" s="63" t="str">
        <x:v>CTO</x:v>
      </x:c>
      <x:c r="G37" s="63" t="str">
        <x:v>Improve context reliability across conversations.</x:v>
      </x:c>
      <x:c r="H37" s="63" t="str">
        <x:v>Not Started</x:v>
      </x:c>
      <x:c r="I37" s="75" t="str"/>
      <x:c r="J37" s="63" t="str"/>
      <x:c r="K37" s="63" t="str"/>
      <x:c r="L37" s="63" t="str"/>
      <x:c r="M37" s="63" t="str"/>
      <x:c r="N37" s="63" t="str">
        <x:v>Activated teams by cohort (#); Four- or eight-week retention (%); Weekly active team rate (%); Meaningful workflows per team (#)</x:v>
      </x:c>
      <x:c r="O37" s="63" t="str">
        <x:v>Medium</x:v>
      </x:c>
      <x:c r="P37" s="63" t="str"/>
      <x:c r="Q37" s="66" t="n">
        <x:f>IF(H37="Completed",1,IF(H37="In Progress",0.5,0))</x:f>
        <x:v>0</x:v>
      </x:c>
      <x:c r="R37" s="75" t="str"/>
    </x:row>
    <x:row r="38">
      <x:c r="A38" s="63" t="str">
        <x:v>P03-SUC-T01</x:v>
      </x:c>
      <x:c r="B38" s="63" t="str">
        <x:v>Inflection</x:v>
      </x:c>
      <x:c r="C38" s="63" t="str">
        <x:v>FEB-JUL 2027</x:v>
      </x:c>
      <x:c r="D38" s="63" t="str">
        <x:v>SUCCESS</x:v>
      </x:c>
      <x:c r="E38" s="63" t="str">
        <x:v>Customer-confirmed ROI</x:v>
      </x:c>
      <x:c r="F38" s="63" t="str">
        <x:v>COO</x:v>
      </x:c>
      <x:c r="G38" s="63" t="str">
        <x:v>Run a structured quarterly ROI review.</x:v>
      </x:c>
      <x:c r="H38" s="63" t="str">
        <x:v>Not Started</x:v>
      </x:c>
      <x:c r="I38" s="75" t="str"/>
      <x:c r="J38" s="63" t="str"/>
      <x:c r="K38" s="63" t="str"/>
      <x:c r="L38" s="63" t="str"/>
      <x:c r="M38" s="63" t="str"/>
      <x:c r="N38" s="63" t="str">
        <x:v>Customers confirming positive ROI (%); Average customer ROI score; Estimated monthly value delivered ($); ROI reviews completed on time (%)</x:v>
      </x:c>
      <x:c r="O38" s="63" t="str">
        <x:v>Medium</x:v>
      </x:c>
      <x:c r="P38" s="63" t="str"/>
      <x:c r="Q38" s="66" t="n">
        <x:f>IF(H38="Completed",1,IF(H38="In Progress",0.5,0))</x:f>
        <x:v>0</x:v>
      </x:c>
      <x:c r="R38" s="75" t="str"/>
    </x:row>
    <x:row r="39">
      <x:c r="A39" s="63" t="str">
        <x:v>P03-SUC-T02</x:v>
      </x:c>
      <x:c r="B39" s="63" t="str">
        <x:v>Inflection</x:v>
      </x:c>
      <x:c r="C39" s="63" t="str">
        <x:v>FEB-JUL 2027</x:v>
      </x:c>
      <x:c r="D39" s="63" t="str">
        <x:v>SUCCESS</x:v>
      </x:c>
      <x:c r="E39" s="63" t="str">
        <x:v>Customer-confirmed ROI</x:v>
      </x:c>
      <x:c r="F39" s="63" t="str">
        <x:v>COO</x:v>
      </x:c>
      <x:c r="G39" s="63" t="str">
        <x:v>Flag low-value accounts before renewal.</x:v>
      </x:c>
      <x:c r="H39" s="63" t="str">
        <x:v>Not Started</x:v>
      </x:c>
      <x:c r="I39" s="75" t="str"/>
      <x:c r="J39" s="63" t="str"/>
      <x:c r="K39" s="63" t="str"/>
      <x:c r="L39" s="63" t="str"/>
      <x:c r="M39" s="63" t="str"/>
      <x:c r="N39" s="63" t="str">
        <x:v>Customers confirming positive ROI (%); Average customer ROI score; Estimated monthly value delivered ($); ROI reviews completed on time (%)</x:v>
      </x:c>
      <x:c r="O39" s="63" t="str">
        <x:v>Medium</x:v>
      </x:c>
      <x:c r="P39" s="63" t="str"/>
      <x:c r="Q39" s="66" t="n">
        <x:f>IF(H39="Completed",1,IF(H39="In Progress",0.5,0))</x:f>
        <x:v>0</x:v>
      </x:c>
      <x:c r="R39" s="75" t="str"/>
    </x:row>
    <x:row r="40">
      <x:c r="A40" s="63" t="str">
        <x:v>P03-SUC-T03</x:v>
      </x:c>
      <x:c r="B40" s="63" t="str">
        <x:v>Inflection</x:v>
      </x:c>
      <x:c r="C40" s="63" t="str">
        <x:v>FEB-JUL 2027</x:v>
      </x:c>
      <x:c r="D40" s="63" t="str">
        <x:v>SUCCESS</x:v>
      </x:c>
      <x:c r="E40" s="63" t="str">
        <x:v>Customer-confirmed ROI</x:v>
      </x:c>
      <x:c r="F40" s="63" t="str">
        <x:v>COO</x:v>
      </x:c>
      <x:c r="G40" s="63" t="str">
        <x:v>Execute intervention plans for at-risk teams.</x:v>
      </x:c>
      <x:c r="H40" s="63" t="str">
        <x:v>Not Started</x:v>
      </x:c>
      <x:c r="I40" s="75" t="str"/>
      <x:c r="J40" s="63" t="str"/>
      <x:c r="K40" s="63" t="str"/>
      <x:c r="L40" s="63" t="str"/>
      <x:c r="M40" s="63" t="str"/>
      <x:c r="N40" s="63" t="str">
        <x:v>Customers confirming positive ROI (%); Average customer ROI score; Estimated monthly value delivered ($); ROI reviews completed on time (%)</x:v>
      </x:c>
      <x:c r="O40" s="63" t="str">
        <x:v>Medium</x:v>
      </x:c>
      <x:c r="P40" s="63" t="str"/>
      <x:c r="Q40" s="66" t="n">
        <x:f>IF(H40="Completed",1,IF(H40="In Progress",0.5,0))</x:f>
        <x:v>0</x:v>
      </x:c>
      <x:c r="R40" s="75" t="str"/>
    </x:row>
    <x:row r="41">
      <x:c r="A41" s="63" t="str">
        <x:v>P03-SUC-T04</x:v>
      </x:c>
      <x:c r="B41" s="63" t="str">
        <x:v>Inflection</x:v>
      </x:c>
      <x:c r="C41" s="63" t="str">
        <x:v>FEB-JUL 2027</x:v>
      </x:c>
      <x:c r="D41" s="63" t="str">
        <x:v>SUCCESS</x:v>
      </x:c>
      <x:c r="E41" s="63" t="str">
        <x:v>Customer-confirmed ROI</x:v>
      </x:c>
      <x:c r="F41" s="63" t="str">
        <x:v>COO</x:v>
      </x:c>
      <x:c r="G41" s="63" t="str">
        <x:v>Publish approved customer case studies.</x:v>
      </x:c>
      <x:c r="H41" s="63" t="str">
        <x:v>Not Started</x:v>
      </x:c>
      <x:c r="I41" s="75" t="str"/>
      <x:c r="J41" s="63" t="str"/>
      <x:c r="K41" s="63" t="str"/>
      <x:c r="L41" s="63" t="str"/>
      <x:c r="M41" s="63" t="str"/>
      <x:c r="N41" s="63" t="str">
        <x:v>Customers confirming positive ROI (%); Average customer ROI score; Estimated monthly value delivered ($); ROI reviews completed on time (%)</x:v>
      </x:c>
      <x:c r="O41" s="63" t="str">
        <x:v>Medium</x:v>
      </x:c>
      <x:c r="P41" s="63" t="str"/>
      <x:c r="Q41" s="66" t="n">
        <x:f>IF(H41="Completed",1,IF(H41="In Progress",0.5,0))</x:f>
        <x:v>0</x:v>
      </x:c>
      <x:c r="R41" s="75" t="str"/>
    </x:row>
    <x:row r="42">
      <x:c r="A42" s="63" t="str">
        <x:v>P04-PRI-T01</x:v>
      </x:c>
      <x:c r="B42" s="63" t="str">
        <x:v>Scale</x:v>
      </x:c>
      <x:c r="C42" s="63" t="str">
        <x:v>AUG 2027-JAN 2028</x:v>
      </x:c>
      <x:c r="D42" s="63" t="str">
        <x:v>PRICING</x:v>
      </x:c>
      <x:c r="E42" s="63" t="str">
        <x:v>LTV:CAC</x:v>
      </x:c>
      <x:c r="F42" s="63" t="str">
        <x:v>CEO</x:v>
      </x:c>
      <x:c r="G42" s="63" t="str">
        <x:v>Measure CAC by acquisition channel.</x:v>
      </x:c>
      <x:c r="H42" s="63" t="str">
        <x:v>Not Started</x:v>
      </x:c>
      <x:c r="I42" s="75" t="str"/>
      <x:c r="J42" s="63" t="str"/>
      <x:c r="K42" s="63" t="str"/>
      <x:c r="L42" s="63" t="str"/>
      <x:c r="M42" s="63" t="str"/>
      <x:c r="N42" s="63" t="str">
        <x:v>Customer acquisition cost by channel ($); Estimated customer lifetime value ($); LTV:CAC ratio; CAC payback period (months)</x:v>
      </x:c>
      <x:c r="O42" s="63" t="str">
        <x:v>Medium</x:v>
      </x:c>
      <x:c r="P42" s="63" t="str"/>
      <x:c r="Q42" s="66" t="n">
        <x:f>IF(H42="Completed",1,IF(H42="In Progress",0.5,0))</x:f>
        <x:v>0</x:v>
      </x:c>
      <x:c r="R42" s="75" t="str"/>
    </x:row>
    <x:row r="43">
      <x:c r="A43" s="63" t="str">
        <x:v>P04-PRI-T02</x:v>
      </x:c>
      <x:c r="B43" s="63" t="str">
        <x:v>Scale</x:v>
      </x:c>
      <x:c r="C43" s="63" t="str">
        <x:v>AUG 2027-JAN 2028</x:v>
      </x:c>
      <x:c r="D43" s="63" t="str">
        <x:v>PRICING</x:v>
      </x:c>
      <x:c r="E43" s="63" t="str">
        <x:v>LTV:CAC</x:v>
      </x:c>
      <x:c r="F43" s="63" t="str">
        <x:v>CEO</x:v>
      </x:c>
      <x:c r="G43" s="63" t="str">
        <x:v>Maintain a cohort-based LTV model.</x:v>
      </x:c>
      <x:c r="H43" s="63" t="str">
        <x:v>Not Started</x:v>
      </x:c>
      <x:c r="I43" s="75" t="str"/>
      <x:c r="J43" s="63" t="str"/>
      <x:c r="K43" s="63" t="str"/>
      <x:c r="L43" s="63" t="str"/>
      <x:c r="M43" s="63" t="str"/>
      <x:c r="N43" s="63" t="str">
        <x:v>Customer acquisition cost by channel ($); Estimated customer lifetime value ($); LTV:CAC ratio; CAC payback period (months)</x:v>
      </x:c>
      <x:c r="O43" s="63" t="str">
        <x:v>Medium</x:v>
      </x:c>
      <x:c r="P43" s="63" t="str"/>
      <x:c r="Q43" s="66" t="n">
        <x:f>IF(H43="Completed",1,IF(H43="In Progress",0.5,0))</x:f>
        <x:v>0</x:v>
      </x:c>
      <x:c r="R43" s="75" t="str"/>
    </x:row>
    <x:row r="44">
      <x:c r="A44" s="63" t="str">
        <x:v>P04-PRI-T03</x:v>
      </x:c>
      <x:c r="B44" s="63" t="str">
        <x:v>Scale</x:v>
      </x:c>
      <x:c r="C44" s="63" t="str">
        <x:v>AUG 2027-JAN 2028</x:v>
      </x:c>
      <x:c r="D44" s="63" t="str">
        <x:v>PRICING</x:v>
      </x:c>
      <x:c r="E44" s="63" t="str">
        <x:v>LTV:CAC</x:v>
      </x:c>
      <x:c r="F44" s="63" t="str">
        <x:v>CEO</x:v>
      </x:c>
      <x:c r="G44" s="63" t="str">
        <x:v>Scale only channels above the minimum gate.</x:v>
      </x:c>
      <x:c r="H44" s="63" t="str">
        <x:v>Not Started</x:v>
      </x:c>
      <x:c r="I44" s="75" t="str"/>
      <x:c r="J44" s="63" t="str"/>
      <x:c r="K44" s="63" t="str"/>
      <x:c r="L44" s="63" t="str"/>
      <x:c r="M44" s="63" t="str"/>
      <x:c r="N44" s="63" t="str">
        <x:v>Customer acquisition cost by channel ($); Estimated customer lifetime value ($); LTV:CAC ratio; CAC payback period (months)</x:v>
      </x:c>
      <x:c r="O44" s="63" t="str">
        <x:v>Medium</x:v>
      </x:c>
      <x:c r="P44" s="63" t="str"/>
      <x:c r="Q44" s="66" t="n">
        <x:f>IF(H44="Completed",1,IF(H44="In Progress",0.5,0))</x:f>
        <x:v>0</x:v>
      </x:c>
      <x:c r="R44" s="75" t="str"/>
    </x:row>
    <x:row r="45">
      <x:c r="A45" s="63" t="str">
        <x:v>P04-PRI-T04</x:v>
      </x:c>
      <x:c r="B45" s="63" t="str">
        <x:v>Scale</x:v>
      </x:c>
      <x:c r="C45" s="63" t="str">
        <x:v>AUG 2027-JAN 2028</x:v>
      </x:c>
      <x:c r="D45" s="63" t="str">
        <x:v>PRICING</x:v>
      </x:c>
      <x:c r="E45" s="63" t="str">
        <x:v>LTV:CAC</x:v>
      </x:c>
      <x:c r="F45" s="63" t="str">
        <x:v>CEO</x:v>
      </x:c>
      <x:c r="G45" s="63" t="str">
        <x:v>Launch referral and partner acquisition motions.</x:v>
      </x:c>
      <x:c r="H45" s="63" t="str">
        <x:v>Not Started</x:v>
      </x:c>
      <x:c r="I45" s="75" t="str"/>
      <x:c r="J45" s="63" t="str"/>
      <x:c r="K45" s="63" t="str"/>
      <x:c r="L45" s="63" t="str"/>
      <x:c r="M45" s="63" t="str"/>
      <x:c r="N45" s="63" t="str">
        <x:v>Customer acquisition cost by channel ($); Estimated customer lifetime value ($); LTV:CAC ratio; CAC payback period (months)</x:v>
      </x:c>
      <x:c r="O45" s="63" t="str">
        <x:v>Medium</x:v>
      </x:c>
      <x:c r="P45" s="63" t="str"/>
      <x:c r="Q45" s="66" t="n">
        <x:f>IF(H45="Completed",1,IF(H45="In Progress",0.5,0))</x:f>
        <x:v>0</x:v>
      </x:c>
      <x:c r="R45" s="75" t="str"/>
    </x:row>
    <x:row r="46">
      <x:c r="A46" s="63" t="str">
        <x:v>P04-PRO-T01</x:v>
      </x:c>
      <x:c r="B46" s="63" t="str">
        <x:v>Scale</x:v>
      </x:c>
      <x:c r="C46" s="63" t="str">
        <x:v>AUG 2027-JAN 2028</x:v>
      </x:c>
      <x:c r="D46" s="63" t="str">
        <x:v>PRODUCT</x:v>
      </x:c>
      <x:c r="E46" s="63" t="str">
        <x:v>Weekly active teams</x:v>
      </x:c>
      <x:c r="F46" s="63" t="str">
        <x:v>CTO</x:v>
      </x:c>
      <x:c r="G46" s="63" t="str">
        <x:v>Deliver self-service onboarding.</x:v>
      </x:c>
      <x:c r="H46" s="63" t="str">
        <x:v>Not Started</x:v>
      </x:c>
      <x:c r="I46" s="75" t="str"/>
      <x:c r="J46" s="63" t="str"/>
      <x:c r="K46" s="63" t="str"/>
      <x:c r="L46" s="63" t="str"/>
      <x:c r="M46" s="63" t="str"/>
      <x:c r="N46" s="63" t="str">
        <x:v>Paying teams (#); Weekly active teams (# and %); Meaningful workflows per team (#); Inactive or at-risk teams (#)</x:v>
      </x:c>
      <x:c r="O46" s="63" t="str">
        <x:v>Medium</x:v>
      </x:c>
      <x:c r="P46" s="63" t="str"/>
      <x:c r="Q46" s="66" t="n">
        <x:f>IF(H46="Completed",1,IF(H46="In Progress",0.5,0))</x:f>
        <x:v>0</x:v>
      </x:c>
      <x:c r="R46" s="75" t="str"/>
    </x:row>
    <x:row r="47">
      <x:c r="A47" s="63" t="str">
        <x:v>P04-PRO-T02</x:v>
      </x:c>
      <x:c r="B47" s="63" t="str">
        <x:v>Scale</x:v>
      </x:c>
      <x:c r="C47" s="63" t="str">
        <x:v>AUG 2027-JAN 2028</x:v>
      </x:c>
      <x:c r="D47" s="63" t="str">
        <x:v>PRODUCT</x:v>
      </x:c>
      <x:c r="E47" s="63" t="str">
        <x:v>Weekly active teams</x:v>
      </x:c>
      <x:c r="F47" s="63" t="str">
        <x:v>CTO</x:v>
      </x:c>
      <x:c r="G47" s="63" t="str">
        <x:v>Release vertical workflow templates.</x:v>
      </x:c>
      <x:c r="H47" s="63" t="str">
        <x:v>Not Started</x:v>
      </x:c>
      <x:c r="I47" s="75" t="str"/>
      <x:c r="J47" s="63" t="str"/>
      <x:c r="K47" s="63" t="str"/>
      <x:c r="L47" s="63" t="str"/>
      <x:c r="M47" s="63" t="str"/>
      <x:c r="N47" s="63" t="str">
        <x:v>Paying teams (#); Weekly active teams (# and %); Meaningful workflows per team (#); Inactive or at-risk teams (#)</x:v>
      </x:c>
      <x:c r="O47" s="63" t="str">
        <x:v>Medium</x:v>
      </x:c>
      <x:c r="P47" s="63" t="str"/>
      <x:c r="Q47" s="66" t="n">
        <x:f>IF(H47="Completed",1,IF(H47="In Progress",0.5,0))</x:f>
        <x:v>0</x:v>
      </x:c>
      <x:c r="R47" s="75" t="str"/>
    </x:row>
    <x:row r="48">
      <x:c r="A48" s="63" t="str">
        <x:v>P04-PRO-T03</x:v>
      </x:c>
      <x:c r="B48" s="63" t="str">
        <x:v>Scale</x:v>
      </x:c>
      <x:c r="C48" s="63" t="str">
        <x:v>AUG 2027-JAN 2028</x:v>
      </x:c>
      <x:c r="D48" s="63" t="str">
        <x:v>PRODUCT</x:v>
      </x:c>
      <x:c r="E48" s="63" t="str">
        <x:v>Weekly active teams</x:v>
      </x:c>
      <x:c r="F48" s="63" t="str">
        <x:v>CTO</x:v>
      </x:c>
      <x:c r="G48" s="63" t="str">
        <x:v>Track feature and workflow usage.</x:v>
      </x:c>
      <x:c r="H48" s="63" t="str">
        <x:v>Not Started</x:v>
      </x:c>
      <x:c r="I48" s="75" t="str"/>
      <x:c r="J48" s="63" t="str"/>
      <x:c r="K48" s="63" t="str"/>
      <x:c r="L48" s="63" t="str"/>
      <x:c r="M48" s="63" t="str"/>
      <x:c r="N48" s="63" t="str">
        <x:v>Paying teams (#); Weekly active teams (# and %); Meaningful workflows per team (#); Inactive or at-risk teams (#)</x:v>
      </x:c>
      <x:c r="O48" s="63" t="str">
        <x:v>Medium</x:v>
      </x:c>
      <x:c r="P48" s="63" t="str"/>
      <x:c r="Q48" s="66" t="n">
        <x:f>IF(H48="Completed",1,IF(H48="In Progress",0.5,0))</x:f>
        <x:v>0</x:v>
      </x:c>
      <x:c r="R48" s="75" t="str"/>
    </x:row>
    <x:row r="49">
      <x:c r="A49" s="63" t="str">
        <x:v>P04-PRO-T04</x:v>
      </x:c>
      <x:c r="B49" s="63" t="str">
        <x:v>Scale</x:v>
      </x:c>
      <x:c r="C49" s="63" t="str">
        <x:v>AUG 2027-JAN 2028</x:v>
      </x:c>
      <x:c r="D49" s="63" t="str">
        <x:v>PRODUCT</x:v>
      </x:c>
      <x:c r="E49" s="63" t="str">
        <x:v>Weekly active teams</x:v>
      </x:c>
      <x:c r="F49" s="63" t="str">
        <x:v>CTO</x:v>
      </x:c>
      <x:c r="G49" s="63" t="str">
        <x:v>Meet production reliability targets.</x:v>
      </x:c>
      <x:c r="H49" s="63" t="str">
        <x:v>Not Started</x:v>
      </x:c>
      <x:c r="I49" s="75" t="str"/>
      <x:c r="J49" s="63" t="str"/>
      <x:c r="K49" s="63" t="str"/>
      <x:c r="L49" s="63" t="str"/>
      <x:c r="M49" s="63" t="str"/>
      <x:c r="N49" s="63" t="str">
        <x:v>Paying teams (#); Weekly active teams (# and %); Meaningful workflows per team (#); Inactive or at-risk teams (#)</x:v>
      </x:c>
      <x:c r="O49" s="63" t="str">
        <x:v>Medium</x:v>
      </x:c>
      <x:c r="P49" s="63" t="str"/>
      <x:c r="Q49" s="66" t="n">
        <x:f>IF(H49="Completed",1,IF(H49="In Progress",0.5,0))</x:f>
        <x:v>0</x:v>
      </x:c>
      <x:c r="R49" s="75" t="str"/>
    </x:row>
    <x:row r="50">
      <x:c r="A50" s="63" t="str">
        <x:v>P04-SUC-T01</x:v>
      </x:c>
      <x:c r="B50" s="63" t="str">
        <x:v>Scale</x:v>
      </x:c>
      <x:c r="C50" s="63" t="str">
        <x:v>AUG 2027-JAN 2028</x:v>
      </x:c>
      <x:c r="D50" s="63" t="str">
        <x:v>SUCCESS</x:v>
      </x:c>
      <x:c r="E50" s="63" t="str">
        <x:v>Monthly logo churn</x:v>
      </x:c>
      <x:c r="F50" s="63" t="str">
        <x:v>COO</x:v>
      </x:c>
      <x:c r="G50" s="63" t="str">
        <x:v>Deploy customer health monitoring.</x:v>
      </x:c>
      <x:c r="H50" s="63" t="str">
        <x:v>Not Started</x:v>
      </x:c>
      <x:c r="I50" s="75" t="str"/>
      <x:c r="J50" s="63" t="str"/>
      <x:c r="K50" s="63" t="str"/>
      <x:c r="L50" s="63" t="str"/>
      <x:c r="M50" s="63" t="str"/>
      <x:c r="N50" s="63" t="str">
        <x:v>Monthly logo churn (%); At-risk accounts identified (#); Retention interventions completed (%); Accounts saved after intervention (%)</x:v>
      </x:c>
      <x:c r="O50" s="63" t="str">
        <x:v>Medium</x:v>
      </x:c>
      <x:c r="P50" s="63" t="str"/>
      <x:c r="Q50" s="66" t="n">
        <x:f>IF(H50="Completed",1,IF(H50="In Progress",0.5,0))</x:f>
        <x:v>0</x:v>
      </x:c>
      <x:c r="R50" s="75" t="str"/>
    </x:row>
    <x:row r="51">
      <x:c r="A51" s="63" t="str">
        <x:v>P04-SUC-T02</x:v>
      </x:c>
      <x:c r="B51" s="63" t="str">
        <x:v>Scale</x:v>
      </x:c>
      <x:c r="C51" s="63" t="str">
        <x:v>AUG 2027-JAN 2028</x:v>
      </x:c>
      <x:c r="D51" s="63" t="str">
        <x:v>SUCCESS</x:v>
      </x:c>
      <x:c r="E51" s="63" t="str">
        <x:v>Monthly logo churn</x:v>
      </x:c>
      <x:c r="F51" s="63" t="str">
        <x:v>COO</x:v>
      </x:c>
      <x:c r="G51" s="63" t="str">
        <x:v>Run proactive churn-prevention playbooks.</x:v>
      </x:c>
      <x:c r="H51" s="63" t="str">
        <x:v>Not Started</x:v>
      </x:c>
      <x:c r="I51" s="75" t="str"/>
      <x:c r="J51" s="63" t="str"/>
      <x:c r="K51" s="63" t="str"/>
      <x:c r="L51" s="63" t="str"/>
      <x:c r="M51" s="63" t="str"/>
      <x:c r="N51" s="63" t="str">
        <x:v>Monthly logo churn (%); At-risk accounts identified (#); Retention interventions completed (%); Accounts saved after intervention (%)</x:v>
      </x:c>
      <x:c r="O51" s="63" t="str">
        <x:v>Medium</x:v>
      </x:c>
      <x:c r="P51" s="63" t="str"/>
      <x:c r="Q51" s="66" t="n">
        <x:f>IF(H51="Completed",1,IF(H51="In Progress",0.5,0))</x:f>
        <x:v>0</x:v>
      </x:c>
      <x:c r="R51" s="75" t="str"/>
    </x:row>
    <x:row r="52">
      <x:c r="A52" s="63" t="str">
        <x:v>P04-SUC-T03</x:v>
      </x:c>
      <x:c r="B52" s="63" t="str">
        <x:v>Scale</x:v>
      </x:c>
      <x:c r="C52" s="63" t="str">
        <x:v>AUG 2027-JAN 2028</x:v>
      </x:c>
      <x:c r="D52" s="63" t="str">
        <x:v>SUCCESS</x:v>
      </x:c>
      <x:c r="E52" s="63" t="str">
        <x:v>Monthly logo churn</x:v>
      </x:c>
      <x:c r="F52" s="63" t="str">
        <x:v>COO</x:v>
      </x:c>
      <x:c r="G52" s="63" t="str">
        <x:v>Schedule recurring executive value reviews.</x:v>
      </x:c>
      <x:c r="H52" s="63" t="str">
        <x:v>Not Started</x:v>
      </x:c>
      <x:c r="I52" s="75" t="str"/>
      <x:c r="J52" s="63" t="str"/>
      <x:c r="K52" s="63" t="str"/>
      <x:c r="L52" s="63" t="str"/>
      <x:c r="M52" s="63" t="str"/>
      <x:c r="N52" s="63" t="str">
        <x:v>Monthly logo churn (%); At-risk accounts identified (#); Retention interventions completed (%); Accounts saved after intervention (%)</x:v>
      </x:c>
      <x:c r="O52" s="63" t="str">
        <x:v>Medium</x:v>
      </x:c>
      <x:c r="P52" s="63" t="str"/>
      <x:c r="Q52" s="66" t="n">
        <x:f>IF(H52="Completed",1,IF(H52="In Progress",0.5,0))</x:f>
        <x:v>0</x:v>
      </x:c>
      <x:c r="R52" s="75" t="str"/>
    </x:row>
    <x:row r="53">
      <x:c r="A53" s="63" t="str">
        <x:v>P04-SUC-T04</x:v>
      </x:c>
      <x:c r="B53" s="63" t="str">
        <x:v>Scale</x:v>
      </x:c>
      <x:c r="C53" s="63" t="str">
        <x:v>AUG 2027-JAN 2028</x:v>
      </x:c>
      <x:c r="D53" s="63" t="str">
        <x:v>SUCCESS</x:v>
      </x:c>
      <x:c r="E53" s="63" t="str">
        <x:v>Monthly logo churn</x:v>
      </x:c>
      <x:c r="F53" s="63" t="str">
        <x:v>COO</x:v>
      </x:c>
      <x:c r="G53" s="63" t="str">
        <x:v>Classify every cancellation cause.</x:v>
      </x:c>
      <x:c r="H53" s="63" t="str">
        <x:v>Not Started</x:v>
      </x:c>
      <x:c r="I53" s="75" t="str"/>
      <x:c r="J53" s="63" t="str"/>
      <x:c r="K53" s="63" t="str"/>
      <x:c r="L53" s="63" t="str"/>
      <x:c r="M53" s="63" t="str"/>
      <x:c r="N53" s="63" t="str">
        <x:v>Monthly logo churn (%); At-risk accounts identified (#); Retention interventions completed (%); Accounts saved after intervention (%)</x:v>
      </x:c>
      <x:c r="O53" s="63" t="str">
        <x:v>Medium</x:v>
      </x:c>
      <x:c r="P53" s="63" t="str"/>
      <x:c r="Q53" s="66" t="n">
        <x:f>IF(H53="Completed",1,IF(H53="In Progress",0.5,0))</x:f>
        <x:v>0</x:v>
      </x:c>
      <x:c r="R53" s="75" t="str"/>
    </x:row>
    <x:row r="54">
      <x:c r="A54" s="63" t="str">
        <x:v>P05-PRI-T01</x:v>
      </x:c>
      <x:c r="B54" s="63" t="str">
        <x:v>Platform</x:v>
      </x:c>
      <x:c r="C54" s="63" t="str">
        <x:v>FEB-JUL 2028</x:v>
      </x:c>
      <x:c r="D54" s="63" t="str">
        <x:v>PRICING</x:v>
      </x:c>
      <x:c r="E54" s="63" t="str">
        <x:v>Net revenue retention</x:v>
      </x:c>
      <x:c r="F54" s="63" t="str">
        <x:v>CEO</x:v>
      </x:c>
      <x:c r="G54" s="63" t="str">
        <x:v>Launch expansion and usage-based pricing.</x:v>
      </x:c>
      <x:c r="H54" s="63" t="str">
        <x:v>Not Started</x:v>
      </x:c>
      <x:c r="I54" s="75" t="str"/>
      <x:c r="J54" s="63" t="str"/>
      <x:c r="K54" s="63" t="str"/>
      <x:c r="L54" s="63" t="str"/>
      <x:c r="M54" s="63" t="str"/>
      <x:c r="N54" s="63" t="str">
        <x:v>Net revenue retention (%); Expansion monthly recurring revenue ($); Contraction revenue ($); Customer revenue churn (%)</x:v>
      </x:c>
      <x:c r="O54" s="63" t="str">
        <x:v>Medium</x:v>
      </x:c>
      <x:c r="P54" s="63" t="str"/>
      <x:c r="Q54" s="66" t="n">
        <x:f>IF(H54="Completed",1,IF(H54="In Progress",0.5,0))</x:f>
        <x:v>0</x:v>
      </x:c>
      <x:c r="R54" s="75" t="str"/>
    </x:row>
    <x:row r="55">
      <x:c r="A55" s="63" t="str">
        <x:v>P05-PRI-T02</x:v>
      </x:c>
      <x:c r="B55" s="63" t="str">
        <x:v>Platform</x:v>
      </x:c>
      <x:c r="C55" s="63" t="str">
        <x:v>FEB-JUL 2028</x:v>
      </x:c>
      <x:c r="D55" s="63" t="str">
        <x:v>PRICING</x:v>
      </x:c>
      <x:c r="E55" s="63" t="str">
        <x:v>Net revenue retention</x:v>
      </x:c>
      <x:c r="F55" s="63" t="str">
        <x:v>CEO</x:v>
      </x:c>
      <x:c r="G55" s="63" t="str">
        <x:v>Maintain account-level expansion forecasts.</x:v>
      </x:c>
      <x:c r="H55" s="63" t="str">
        <x:v>Not Started</x:v>
      </x:c>
      <x:c r="I55" s="75" t="str"/>
      <x:c r="J55" s="63" t="str"/>
      <x:c r="K55" s="63" t="str"/>
      <x:c r="L55" s="63" t="str"/>
      <x:c r="M55" s="63" t="str"/>
      <x:c r="N55" s="63" t="str">
        <x:v>Net revenue retention (%); Expansion monthly recurring revenue ($); Contraction revenue ($); Customer revenue churn (%)</x:v>
      </x:c>
      <x:c r="O55" s="63" t="str">
        <x:v>Medium</x:v>
      </x:c>
      <x:c r="P55" s="63" t="str"/>
      <x:c r="Q55" s="66" t="n">
        <x:f>IF(H55="Completed",1,IF(H55="In Progress",0.5,0))</x:f>
        <x:v>0</x:v>
      </x:c>
      <x:c r="R55" s="75" t="str"/>
    </x:row>
    <x:row r="56">
      <x:c r="A56" s="63" t="str">
        <x:v>P05-PRI-T03</x:v>
      </x:c>
      <x:c r="B56" s="63" t="str">
        <x:v>Platform</x:v>
      </x:c>
      <x:c r="C56" s="63" t="str">
        <x:v>FEB-JUL 2028</x:v>
      </x:c>
      <x:c r="D56" s="63" t="str">
        <x:v>PRICING</x:v>
      </x:c>
      <x:c r="E56" s="63" t="str">
        <x:v>Net revenue retention</x:v>
      </x:c>
      <x:c r="F56" s="63" t="str">
        <x:v>CEO</x:v>
      </x:c>
      <x:c r="G56" s="63" t="str">
        <x:v>Develop enterprise and partner packages.</x:v>
      </x:c>
      <x:c r="H56" s="63" t="str">
        <x:v>Not Started</x:v>
      </x:c>
      <x:c r="I56" s="75" t="str"/>
      <x:c r="J56" s="63" t="str"/>
      <x:c r="K56" s="63" t="str"/>
      <x:c r="L56" s="63" t="str"/>
      <x:c r="M56" s="63" t="str"/>
      <x:c r="N56" s="63" t="str">
        <x:v>Net revenue retention (%); Expansion monthly recurring revenue ($); Contraction revenue ($); Customer revenue churn (%)</x:v>
      </x:c>
      <x:c r="O56" s="63" t="str">
        <x:v>Medium</x:v>
      </x:c>
      <x:c r="P56" s="63" t="str"/>
      <x:c r="Q56" s="66" t="n">
        <x:f>IF(H56="Completed",1,IF(H56="In Progress",0.5,0))</x:f>
        <x:v>0</x:v>
      </x:c>
      <x:c r="R56" s="75" t="str"/>
    </x:row>
    <x:row r="57">
      <x:c r="A57" s="63" t="str">
        <x:v>P05-PRI-T04</x:v>
      </x:c>
      <x:c r="B57" s="63" t="str">
        <x:v>Platform</x:v>
      </x:c>
      <x:c r="C57" s="63" t="str">
        <x:v>FEB-JUL 2028</x:v>
      </x:c>
      <x:c r="D57" s="63" t="str">
        <x:v>PRICING</x:v>
      </x:c>
      <x:c r="E57" s="63" t="str">
        <x:v>Net revenue retention</x:v>
      </x:c>
      <x:c r="F57" s="63" t="str">
        <x:v>CEO</x:v>
      </x:c>
      <x:c r="G57" s="63" t="str">
        <x:v>Review net revenue retention monthly.</x:v>
      </x:c>
      <x:c r="H57" s="63" t="str">
        <x:v>Not Started</x:v>
      </x:c>
      <x:c r="I57" s="75" t="str"/>
      <x:c r="J57" s="63" t="str"/>
      <x:c r="K57" s="63" t="str"/>
      <x:c r="L57" s="63" t="str"/>
      <x:c r="M57" s="63" t="str"/>
      <x:c r="N57" s="63" t="str">
        <x:v>Net revenue retention (%); Expansion monthly recurring revenue ($); Contraction revenue ($); Customer revenue churn (%)</x:v>
      </x:c>
      <x:c r="O57" s="63" t="str">
        <x:v>Medium</x:v>
      </x:c>
      <x:c r="P57" s="63" t="str"/>
      <x:c r="Q57" s="66" t="n">
        <x:f>IF(H57="Completed",1,IF(H57="In Progress",0.5,0))</x:f>
        <x:v>0</x:v>
      </x:c>
      <x:c r="R57" s="75" t="str"/>
    </x:row>
    <x:row r="58">
      <x:c r="A58" s="63" t="str">
        <x:v>P05-PRO-T01</x:v>
      </x:c>
      <x:c r="B58" s="63" t="str">
        <x:v>Platform</x:v>
      </x:c>
      <x:c r="C58" s="63" t="str">
        <x:v>FEB-JUL 2028</x:v>
      </x:c>
      <x:c r="D58" s="63" t="str">
        <x:v>PRODUCT</x:v>
      </x:c>
      <x:c r="E58" s="63" t="str">
        <x:v>Multi-workflow adoption</x:v>
      </x:c>
      <x:c r="F58" s="63" t="str">
        <x:v>CTO</x:v>
      </x:c>
      <x:c r="G58" s="63" t="str">
        <x:v>Ship a modular agent and workflow system.</x:v>
      </x:c>
      <x:c r="H58" s="63" t="str">
        <x:v>Not Started</x:v>
      </x:c>
      <x:c r="I58" s="75" t="str"/>
      <x:c r="J58" s="63" t="str"/>
      <x:c r="K58" s="63" t="str"/>
      <x:c r="L58" s="63" t="str"/>
      <x:c r="M58" s="63" t="str"/>
      <x:c r="N58" s="63" t="str">
        <x:v>Teams using two or more workflows (%); Workflow adoption by account (%); Active workflows per team (#); Integration-driven activity (%)</x:v>
      </x:c>
      <x:c r="O58" s="63" t="str">
        <x:v>Medium</x:v>
      </x:c>
      <x:c r="P58" s="63" t="str"/>
      <x:c r="Q58" s="66" t="n">
        <x:f>IF(H58="Completed",1,IF(H58="In Progress",0.5,0))</x:f>
        <x:v>0</x:v>
      </x:c>
      <x:c r="R58" s="75" t="str"/>
    </x:row>
    <x:row r="59">
      <x:c r="A59" s="63" t="str">
        <x:v>P05-PRO-T02</x:v>
      </x:c>
      <x:c r="B59" s="63" t="str">
        <x:v>Platform</x:v>
      </x:c>
      <x:c r="C59" s="63" t="str">
        <x:v>FEB-JUL 2028</x:v>
      </x:c>
      <x:c r="D59" s="63" t="str">
        <x:v>PRODUCT</x:v>
      </x:c>
      <x:c r="E59" s="63" t="str">
        <x:v>Multi-workflow adoption</x:v>
      </x:c>
      <x:c r="F59" s="63" t="str">
        <x:v>CTO</x:v>
      </x:c>
      <x:c r="G59" s="63" t="str">
        <x:v>Add priority business integrations.</x:v>
      </x:c>
      <x:c r="H59" s="63" t="str">
        <x:v>Not Started</x:v>
      </x:c>
      <x:c r="I59" s="75" t="str"/>
      <x:c r="J59" s="63" t="str"/>
      <x:c r="K59" s="63" t="str"/>
      <x:c r="L59" s="63" t="str"/>
      <x:c r="M59" s="63" t="str"/>
      <x:c r="N59" s="63" t="str">
        <x:v>Teams using two or more workflows (%); Workflow adoption by account (%); Active workflows per team (#); Integration-driven activity (%)</x:v>
      </x:c>
      <x:c r="O59" s="63" t="str">
        <x:v>Medium</x:v>
      </x:c>
      <x:c r="P59" s="63" t="str"/>
      <x:c r="Q59" s="66" t="n">
        <x:f>IF(H59="Completed",1,IF(H59="In Progress",0.5,0))</x:f>
        <x:v>0</x:v>
      </x:c>
      <x:c r="R59" s="75" t="str"/>
    </x:row>
    <x:row r="60">
      <x:c r="A60" s="63" t="str">
        <x:v>P05-PRO-T03</x:v>
      </x:c>
      <x:c r="B60" s="63" t="str">
        <x:v>Platform</x:v>
      </x:c>
      <x:c r="C60" s="63" t="str">
        <x:v>FEB-JUL 2028</x:v>
      </x:c>
      <x:c r="D60" s="63" t="str">
        <x:v>PRODUCT</x:v>
      </x:c>
      <x:c r="E60" s="63" t="str">
        <x:v>Multi-workflow adoption</x:v>
      </x:c>
      <x:c r="F60" s="63" t="str">
        <x:v>CTO</x:v>
      </x:c>
      <x:c r="G60" s="63" t="str">
        <x:v>Harden context, access, and permissions.</x:v>
      </x:c>
      <x:c r="H60" s="63" t="str">
        <x:v>Not Started</x:v>
      </x:c>
      <x:c r="I60" s="75" t="str"/>
      <x:c r="J60" s="63" t="str"/>
      <x:c r="K60" s="63" t="str"/>
      <x:c r="L60" s="63" t="str"/>
      <x:c r="M60" s="63" t="str"/>
      <x:c r="N60" s="63" t="str">
        <x:v>Teams using two or more workflows (%); Workflow adoption by account (%); Active workflows per team (#); Integration-driven activity (%)</x:v>
      </x:c>
      <x:c r="O60" s="63" t="str">
        <x:v>Medium</x:v>
      </x:c>
      <x:c r="P60" s="63" t="str"/>
      <x:c r="Q60" s="66" t="n">
        <x:f>IF(H60="Completed",1,IF(H60="In Progress",0.5,0))</x:f>
        <x:v>0</x:v>
      </x:c>
      <x:c r="R60" s="75" t="str"/>
    </x:row>
    <x:row r="61">
      <x:c r="A61" s="63" t="str">
        <x:v>P05-PRO-T04</x:v>
      </x:c>
      <x:c r="B61" s="63" t="str">
        <x:v>Platform</x:v>
      </x:c>
      <x:c r="C61" s="63" t="str">
        <x:v>FEB-JUL 2028</x:v>
      </x:c>
      <x:c r="D61" s="63" t="str">
        <x:v>PRODUCT</x:v>
      </x:c>
      <x:c r="E61" s="63" t="str">
        <x:v>Multi-workflow adoption</x:v>
      </x:c>
      <x:c r="F61" s="63" t="str">
        <x:v>CTO</x:v>
      </x:c>
      <x:c r="G61" s="63" t="str">
        <x:v>Track adoption by workflow and customer segment.</x:v>
      </x:c>
      <x:c r="H61" s="63" t="str">
        <x:v>Not Started</x:v>
      </x:c>
      <x:c r="I61" s="75" t="str"/>
      <x:c r="J61" s="63" t="str"/>
      <x:c r="K61" s="63" t="str"/>
      <x:c r="L61" s="63" t="str"/>
      <x:c r="M61" s="63" t="str"/>
      <x:c r="N61" s="63" t="str">
        <x:v>Teams using two or more workflows (%); Workflow adoption by account (%); Active workflows per team (#); Integration-driven activity (%)</x:v>
      </x:c>
      <x:c r="O61" s="63" t="str">
        <x:v>Medium</x:v>
      </x:c>
      <x:c r="P61" s="63" t="str"/>
      <x:c r="Q61" s="66" t="n">
        <x:f>IF(H61="Completed",1,IF(H61="In Progress",0.5,0))</x:f>
        <x:v>0</x:v>
      </x:c>
      <x:c r="R61" s="75" t="str"/>
    </x:row>
    <x:row r="62">
      <x:c r="A62" s="63" t="str">
        <x:v>P05-SUC-T01</x:v>
      </x:c>
      <x:c r="B62" s="63" t="str">
        <x:v>Platform</x:v>
      </x:c>
      <x:c r="C62" s="63" t="str">
        <x:v>FEB-JUL 2028</x:v>
      </x:c>
      <x:c r="D62" s="63" t="str">
        <x:v>SUCCESS</x:v>
      </x:c>
      <x:c r="E62" s="63" t="str">
        <x:v>Customer ROI score</x:v>
      </x:c>
      <x:c r="F62" s="63" t="str">
        <x:v>COO</x:v>
      </x:c>
      <x:c r="G62" s="63" t="str">
        <x:v>Standardize the customer ROI scorecard.</x:v>
      </x:c>
      <x:c r="H62" s="63" t="str">
        <x:v>Not Started</x:v>
      </x:c>
      <x:c r="I62" s="75" t="str"/>
      <x:c r="J62" s="63" t="str"/>
      <x:c r="K62" s="63" t="str"/>
      <x:c r="L62" s="63" t="str"/>
      <x:c r="M62" s="63" t="str"/>
      <x:c r="N62" s="63" t="str">
        <x:v>Customers confirming positive ROI (%); Average customer ROI score; Estimated monthly value delivered ($); ROI reviews completed on time (%)</x:v>
      </x:c>
      <x:c r="O62" s="63" t="str">
        <x:v>Medium</x:v>
      </x:c>
      <x:c r="P62" s="63" t="str"/>
      <x:c r="Q62" s="66" t="n">
        <x:f>IF(H62="Completed",1,IF(H62="In Progress",0.5,0))</x:f>
        <x:v>0</x:v>
      </x:c>
      <x:c r="R62" s="75" t="str"/>
    </x:row>
    <x:row r="63">
      <x:c r="A63" s="63" t="str">
        <x:v>P05-SUC-T02</x:v>
      </x:c>
      <x:c r="B63" s="63" t="str">
        <x:v>Platform</x:v>
      </x:c>
      <x:c r="C63" s="63" t="str">
        <x:v>FEB-JUL 2028</x:v>
      </x:c>
      <x:c r="D63" s="63" t="str">
        <x:v>SUCCESS</x:v>
      </x:c>
      <x:c r="E63" s="63" t="str">
        <x:v>Customer ROI score</x:v>
      </x:c>
      <x:c r="F63" s="63" t="str">
        <x:v>COO</x:v>
      </x:c>
      <x:c r="G63" s="63" t="str">
        <x:v>Benchmark results across account cohorts.</x:v>
      </x:c>
      <x:c r="H63" s="63" t="str">
        <x:v>Not Started</x:v>
      </x:c>
      <x:c r="I63" s="75" t="str"/>
      <x:c r="J63" s="63" t="str"/>
      <x:c r="K63" s="63" t="str"/>
      <x:c r="L63" s="63" t="str"/>
      <x:c r="M63" s="63" t="str"/>
      <x:c r="N63" s="63" t="str">
        <x:v>Customers confirming positive ROI (%); Average customer ROI score; Estimated monthly value delivered ($); ROI reviews completed on time (%)</x:v>
      </x:c>
      <x:c r="O63" s="63" t="str">
        <x:v>Medium</x:v>
      </x:c>
      <x:c r="P63" s="63" t="str"/>
      <x:c r="Q63" s="66" t="n">
        <x:f>IF(H63="Completed",1,IF(H63="In Progress",0.5,0))</x:f>
        <x:v>0</x:v>
      </x:c>
      <x:c r="R63" s="75" t="str"/>
    </x:row>
    <x:row r="64">
      <x:c r="A64" s="63" t="str">
        <x:v>P05-SUC-T03</x:v>
      </x:c>
      <x:c r="B64" s="63" t="str">
        <x:v>Platform</x:v>
      </x:c>
      <x:c r="C64" s="63" t="str">
        <x:v>FEB-JUL 2028</x:v>
      </x:c>
      <x:c r="D64" s="63" t="str">
        <x:v>SUCCESS</x:v>
      </x:c>
      <x:c r="E64" s="63" t="str">
        <x:v>Customer ROI score</x:v>
      </x:c>
      <x:c r="F64" s="63" t="str">
        <x:v>COO</x:v>
      </x:c>
      <x:c r="G64" s="63" t="str">
        <x:v>Create account expansion plans from ROI data.</x:v>
      </x:c>
      <x:c r="H64" s="63" t="str">
        <x:v>Not Started</x:v>
      </x:c>
      <x:c r="I64" s="75" t="str"/>
      <x:c r="J64" s="63" t="str"/>
      <x:c r="K64" s="63" t="str"/>
      <x:c r="L64" s="63" t="str"/>
      <x:c r="M64" s="63" t="str"/>
      <x:c r="N64" s="63" t="str">
        <x:v>Customers confirming positive ROI (%); Average customer ROI score; Estimated monthly value delivered ($); ROI reviews completed on time (%)</x:v>
      </x:c>
      <x:c r="O64" s="63" t="str">
        <x:v>Medium</x:v>
      </x:c>
      <x:c r="P64" s="63" t="str"/>
      <x:c r="Q64" s="66" t="n">
        <x:f>IF(H64="Completed",1,IF(H64="In Progress",0.5,0))</x:f>
        <x:v>0</x:v>
      </x:c>
      <x:c r="R64" s="75" t="str"/>
    </x:row>
    <x:row r="65">
      <x:c r="A65" s="64" t="str">
        <x:v>P05-SUC-T04</x:v>
      </x:c>
      <x:c r="B65" s="64" t="str">
        <x:v>Platform</x:v>
      </x:c>
      <x:c r="C65" s="64" t="str">
        <x:v>FEB-JUL 2028</x:v>
      </x:c>
      <x:c r="D65" s="64" t="str">
        <x:v>SUCCESS</x:v>
      </x:c>
      <x:c r="E65" s="64" t="str">
        <x:v>Customer ROI score</x:v>
      </x:c>
      <x:c r="F65" s="64" t="str">
        <x:v>COO</x:v>
      </x:c>
      <x:c r="G65" s="64" t="str">
        <x:v>Issue recurring executive value reports.</x:v>
      </x:c>
      <x:c r="H65" s="64" t="str">
        <x:v>Not Started</x:v>
      </x:c>
      <x:c r="I65" s="76" t="str"/>
      <x:c r="J65" s="64" t="str"/>
      <x:c r="K65" s="64" t="str"/>
      <x:c r="L65" s="64" t="str"/>
      <x:c r="M65" s="64" t="str"/>
      <x:c r="N65" s="64" t="str">
        <x:v>Customers confirming positive ROI (%); Average customer ROI score; Estimated monthly value delivered ($); ROI reviews completed on time (%)</x:v>
      </x:c>
      <x:c r="O65" s="64" t="str">
        <x:v>Medium</x:v>
      </x:c>
      <x:c r="P65" s="64" t="str"/>
      <x:c r="Q65" s="67" t="n">
        <x:f>IF(H65="Completed",1,IF(H65="In Progress",0.5,0))</x:f>
        <x:v>0</x:v>
      </x:c>
      <x:c r="R65" s="76" t="str"/>
    </x:row>
  </x:sheetData>
  <x:mergeCells>
    <x:mergeCell ref="A1:R1"/>
    <x:mergeCell ref="A2:R2"/>
  </x:mergeCells>
  <x:conditionalFormatting sqref="D6:D65">
    <x:cfRule type="containsText" dxfId="11" priority="1" operator="containsText" text="PRICING"/>
    <x:cfRule type="containsText" dxfId="12" priority="2" operator="containsText" text="PRODUCT"/>
    <x:cfRule type="containsText" dxfId="13" priority="3" operator="containsText" text="SUCCESS"/>
  </x:conditionalFormatting>
  <x:conditionalFormatting sqref="H6:H65">
    <x:cfRule type="containsText" dxfId="14" priority="4" operator="containsText" text="Completed"/>
    <x:cfRule type="containsText" dxfId="15" priority="5" operator="containsText" text="In Progress"/>
    <x:cfRule type="containsText" dxfId="16" priority="6" operator="containsText" text="Blocked"/>
  </x:conditionalFormatting>
  <x:dataValidations count="3">
    <x:dataValidation type="list" sqref="H6:H65">
      <x:formula1>"Not Started,In Progress,Blocked,Completed"</x:formula1>
    </x:dataValidation>
    <x:dataValidation type="list" sqref="F6:F65">
      <x:formula1>"CEO,COO,CTO"</x:formula1>
    </x:dataValidation>
    <x:dataValidation type="list" sqref="O6:O65">
      <x:formula1>"Low,Medium,High,Critical"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24af48979545d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1" hidden="0" customWidth="1"/>
    <x:col min="4" max="4" width="24" hidden="0" customWidth="1"/>
    <x:col min="5" max="5" width="9" hidden="0" customWidth="1"/>
    <x:col min="6" max="6" width="34" hidden="0" customWidth="1"/>
    <x:col min="7" max="7" width="12" hidden="0" customWidth="1"/>
    <x:col min="8" max="8" width="15" hidden="0" customWidth="1"/>
    <x:col min="9" max="9" width="12" hidden="0" customWidth="1"/>
    <x:col min="10" max="10" width="12" hidden="0" customWidth="1"/>
    <x:col min="11" max="11" width="12" hidden="0" customWidth="1"/>
    <x:col min="12" max="12" width="34" hidden="0" customWidth="1"/>
    <x:col min="13" max="13" width="34" hidden="0" customWidth="1"/>
    <x:col min="14" max="14" width="14" hidden="0" customWidth="1"/>
    <x:col min="15" max="15" width="28" hidden="0" customWidth="1"/>
    <x:col min="16" max="16" width="28" hidden="0" customWidth="1"/>
  </x:cols>
  <x:sheetData>
    <x:row r="1" ht="34" customHeight="1">
      <x:c r="A1" s="3" t="str">
        <x:v>Tracked Metrics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2" customHeight="1">
      <x:c r="A2" s="5" t="str">
        <x:v>ONE DEFINED PERFORMANCE MEASURE PER ROW  |  UPDATE CURRENT VALUE, FREQUENCY, DATE, SOURCE, AND NOTES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5" ht="30" customHeight="1">
      <x:c r="A5" s="52" t="str">
        <x:v>Metric ID</x:v>
      </x:c>
      <x:c r="B5" s="53" t="str">
        <x:v>Phase</x:v>
      </x:c>
      <x:c r="C5" s="53" t="str">
        <x:v>KPI Type</x:v>
      </x:c>
      <x:c r="D5" s="53" t="str">
        <x:v>KPI</x:v>
      </x:c>
      <x:c r="E5" s="53" t="str">
        <x:v>Owner</x:v>
      </x:c>
      <x:c r="F5" s="53" t="str">
        <x:v>Metric</x:v>
      </x:c>
      <x:c r="G5" s="53" t="str">
        <x:v>Frequency</x:v>
      </x:c>
      <x:c r="H5" s="53" t="str">
        <x:v>Direction</x:v>
      </x:c>
      <x:c r="I5" s="53" t="str">
        <x:v>Unit</x:v>
      </x:c>
      <x:c r="J5" s="53" t="str">
        <x:v>Baseline</x:v>
      </x:c>
      <x:c r="K5" s="53" t="str">
        <x:v>Current Value</x:v>
      </x:c>
      <x:c r="L5" s="53" t="str">
        <x:v>Minimum Gate</x:v>
      </x:c>
      <x:c r="M5" s="53" t="str">
        <x:v>Goal</x:v>
      </x:c>
      <x:c r="N5" s="53" t="str">
        <x:v>Last Updated</x:v>
      </x:c>
      <x:c r="O5" s="53" t="str">
        <x:v>Source / Evidence</x:v>
      </x:c>
      <x:c r="P5" s="54" t="str">
        <x:v>Notes</x:v>
      </x:c>
    </x:row>
    <x:row r="6">
      <x:c r="A6" s="62" t="str">
        <x:v>P01-PRI-M01</x:v>
      </x:c>
      <x:c r="B6" s="62" t="str">
        <x:v>Foundation</x:v>
      </x:c>
      <x:c r="C6" s="62" t="str">
        <x:v>PRICING</x:v>
      </x:c>
      <x:c r="D6" s="62" t="str">
        <x:v>Customers willing to pay</x:v>
      </x:c>
      <x:c r="E6" s="62" t="str">
        <x:v>CEO</x:v>
      </x:c>
      <x:c r="F6" s="62" t="str">
        <x:v>Qualified pilots recruited (#)</x:v>
      </x:c>
      <x:c r="G6" s="62" t="str">
        <x:v>Weekly</x:v>
      </x:c>
      <x:c r="H6" s="62" t="str">
        <x:v>Higher is better</x:v>
      </x:c>
      <x:c r="I6" s="62" t="str">
        <x:v>#</x:v>
      </x:c>
      <x:c r="J6" s="62" t="str"/>
      <x:c r="K6" s="62" t="str"/>
      <x:c r="L6" s="62" t="str">
        <x:v>3 pilot customers agree to pay after seeing JasonAI work.</x:v>
      </x:c>
      <x:c r="M6" s="62" t="str">
        <x:v>5 customers willing to pay $10-$25 per month.</x:v>
      </x:c>
      <x:c r="N6" s="74" t="str"/>
      <x:c r="O6" s="62" t="str"/>
      <x:c r="P6" s="62" t="str"/>
    </x:row>
    <x:row r="7">
      <x:c r="A7" s="63" t="str">
        <x:v>P01-PRI-M02</x:v>
      </x:c>
      <x:c r="B7" s="63" t="str">
        <x:v>Foundation</x:v>
      </x:c>
      <x:c r="C7" s="63" t="str">
        <x:v>PRICING</x:v>
      </x:c>
      <x:c r="D7" s="63" t="str">
        <x:v>Customers willing to pay</x:v>
      </x:c>
      <x:c r="E7" s="63" t="str">
        <x:v>CEO</x:v>
      </x:c>
      <x:c r="F7" s="63" t="str">
        <x:v>Payment commitment rate (%)</x:v>
      </x:c>
      <x:c r="G7" s="63" t="str">
        <x:v>Weekly</x:v>
      </x:c>
      <x:c r="H7" s="63" t="str">
        <x:v>Higher is better</x:v>
      </x:c>
      <x:c r="I7" s="63" t="str">
        <x:v>%</x:v>
      </x:c>
      <x:c r="J7" s="63" t="str"/>
      <x:c r="K7" s="63" t="str"/>
      <x:c r="L7" s="63" t="str">
        <x:v>3 pilot customers agree to pay after seeing JasonAI work.</x:v>
      </x:c>
      <x:c r="M7" s="63" t="str">
        <x:v>5 customers willing to pay $10-$25 per month.</x:v>
      </x:c>
      <x:c r="N7" s="75" t="str"/>
      <x:c r="O7" s="63" t="str"/>
      <x:c r="P7" s="63" t="str"/>
    </x:row>
    <x:row r="8">
      <x:c r="A8" s="63" t="str">
        <x:v>P01-PRI-M03</x:v>
      </x:c>
      <x:c r="B8" s="63" t="str">
        <x:v>Foundation</x:v>
      </x:c>
      <x:c r="C8" s="63" t="str">
        <x:v>PRICING</x:v>
      </x:c>
      <x:c r="D8" s="63" t="str">
        <x:v>Customers willing to pay</x:v>
      </x:c>
      <x:c r="E8" s="63" t="str">
        <x:v>CEO</x:v>
      </x:c>
      <x:c r="F8" s="63" t="str">
        <x:v>Willingness-to-pay range ($)</x:v>
      </x:c>
      <x:c r="G8" s="63" t="str">
        <x:v>Weekly</x:v>
      </x:c>
      <x:c r="H8" s="63" t="str">
        <x:v>Higher is better</x:v>
      </x:c>
      <x:c r="I8" s="63" t="str">
        <x:v>$</x:v>
      </x:c>
      <x:c r="J8" s="63" t="str"/>
      <x:c r="K8" s="63" t="str"/>
      <x:c r="L8" s="63" t="str">
        <x:v>3 pilot customers agree to pay after seeing JasonAI work.</x:v>
      </x:c>
      <x:c r="M8" s="63" t="str">
        <x:v>5 customers willing to pay $10-$25 per month.</x:v>
      </x:c>
      <x:c r="N8" s="75" t="str"/>
      <x:c r="O8" s="63" t="str"/>
      <x:c r="P8" s="63" t="str"/>
    </x:row>
    <x:row r="9">
      <x:c r="A9" s="63" t="str">
        <x:v>P01-PRI-M04</x:v>
      </x:c>
      <x:c r="B9" s="63" t="str">
        <x:v>Foundation</x:v>
      </x:c>
      <x:c r="C9" s="63" t="str">
        <x:v>PRICING</x:v>
      </x:c>
      <x:c r="D9" s="63" t="str">
        <x:v>Customers willing to pay</x:v>
      </x:c>
      <x:c r="E9" s="63" t="str">
        <x:v>CEO</x:v>
      </x:c>
      <x:c r="F9" s="63" t="str">
        <x:v>Committed monthly recurring revenue ($)</x:v>
      </x:c>
      <x:c r="G9" s="63" t="str">
        <x:v>Weekly</x:v>
      </x:c>
      <x:c r="H9" s="63" t="str">
        <x:v>Higher is better</x:v>
      </x:c>
      <x:c r="I9" s="63" t="str">
        <x:v>$</x:v>
      </x:c>
      <x:c r="J9" s="63" t="str"/>
      <x:c r="K9" s="63" t="str"/>
      <x:c r="L9" s="63" t="str">
        <x:v>3 pilot customers agree to pay after seeing JasonAI work.</x:v>
      </x:c>
      <x:c r="M9" s="63" t="str">
        <x:v>5 customers willing to pay $10-$25 per month.</x:v>
      </x:c>
      <x:c r="N9" s="75" t="str"/>
      <x:c r="O9" s="63" t="str"/>
      <x:c r="P9" s="63" t="str"/>
    </x:row>
    <x:row r="10">
      <x:c r="A10" s="63" t="str">
        <x:v>P01-PRO-M01</x:v>
      </x:c>
      <x:c r="B10" s="63" t="str">
        <x:v>Foundation</x:v>
      </x:c>
      <x:c r="C10" s="63" t="str">
        <x:v>PRODUCT</x:v>
      </x:c>
      <x:c r="D10" s="63" t="str">
        <x:v>Useful-output rate</x:v>
      </x:c>
      <x:c r="E10" s="63" t="str">
        <x:v>CTO</x:v>
      </x:c>
      <x:c r="F10" s="63" t="str">
        <x:v>Outputs reviewed (#)</x:v>
      </x:c>
      <x:c r="G10" s="63" t="str">
        <x:v>Weekly</x:v>
      </x:c>
      <x:c r="H10" s="63" t="str">
        <x:v>Higher is better</x:v>
      </x:c>
      <x:c r="I10" s="63" t="str">
        <x:v>#</x:v>
      </x:c>
      <x:c r="J10" s="63" t="str"/>
      <x:c r="K10" s="63" t="str"/>
      <x:c r="L10" s="63" t="str">
        <x:v>80% of reviewed outputs are useful.</x:v>
      </x:c>
      <x:c r="M10" s="63" t="str">
        <x:v>90% require little or no correction.</x:v>
      </x:c>
      <x:c r="N10" s="75" t="str"/>
      <x:c r="O10" s="63" t="str"/>
      <x:c r="P10" s="63" t="str"/>
    </x:row>
    <x:row r="11">
      <x:c r="A11" s="63" t="str">
        <x:v>P01-PRO-M02</x:v>
      </x:c>
      <x:c r="B11" s="63" t="str">
        <x:v>Foundation</x:v>
      </x:c>
      <x:c r="C11" s="63" t="str">
        <x:v>PRODUCT</x:v>
      </x:c>
      <x:c r="D11" s="63" t="str">
        <x:v>Useful-output rate</x:v>
      </x:c>
      <x:c r="E11" s="63" t="str">
        <x:v>CTO</x:v>
      </x:c>
      <x:c r="F11" s="63" t="str">
        <x:v>Useful-output rate (%)</x:v>
      </x:c>
      <x:c r="G11" s="63" t="str">
        <x:v>Weekly</x:v>
      </x:c>
      <x:c r="H11" s="63" t="str">
        <x:v>Higher is better</x:v>
      </x:c>
      <x:c r="I11" s="63" t="str">
        <x:v>%</x:v>
      </x:c>
      <x:c r="J11" s="63" t="str"/>
      <x:c r="K11" s="63" t="str"/>
      <x:c r="L11" s="63" t="str">
        <x:v>80% of reviewed outputs are useful.</x:v>
      </x:c>
      <x:c r="M11" s="63" t="str">
        <x:v>90% require little or no correction.</x:v>
      </x:c>
      <x:c r="N11" s="75" t="str"/>
      <x:c r="O11" s="63" t="str"/>
      <x:c r="P11" s="63" t="str"/>
    </x:row>
    <x:row r="12">
      <x:c r="A12" s="63" t="str">
        <x:v>P01-PRO-M03</x:v>
      </x:c>
      <x:c r="B12" s="63" t="str">
        <x:v>Foundation</x:v>
      </x:c>
      <x:c r="C12" s="63" t="str">
        <x:v>PRODUCT</x:v>
      </x:c>
      <x:c r="D12" s="63" t="str">
        <x:v>Useful-output rate</x:v>
      </x:c>
      <x:c r="E12" s="63" t="str">
        <x:v>CTO</x:v>
      </x:c>
      <x:c r="F12" s="63" t="str">
        <x:v>Outputs requiring correction (%)</x:v>
      </x:c>
      <x:c r="G12" s="63" t="str">
        <x:v>Weekly</x:v>
      </x:c>
      <x:c r="H12" s="63" t="str">
        <x:v>Higher is better</x:v>
      </x:c>
      <x:c r="I12" s="63" t="str">
        <x:v>%</x:v>
      </x:c>
      <x:c r="J12" s="63" t="str"/>
      <x:c r="K12" s="63" t="str"/>
      <x:c r="L12" s="63" t="str">
        <x:v>80% of reviewed outputs are useful.</x:v>
      </x:c>
      <x:c r="M12" s="63" t="str">
        <x:v>90% require little or no correction.</x:v>
      </x:c>
      <x:c r="N12" s="75" t="str"/>
      <x:c r="O12" s="63" t="str"/>
      <x:c r="P12" s="63" t="str"/>
    </x:row>
    <x:row r="13">
      <x:c r="A13" s="63" t="str">
        <x:v>P01-PRO-M04</x:v>
      </x:c>
      <x:c r="B13" s="63" t="str">
        <x:v>Foundation</x:v>
      </x:c>
      <x:c r="C13" s="63" t="str">
        <x:v>PRODUCT</x:v>
      </x:c>
      <x:c r="D13" s="63" t="str">
        <x:v>Useful-output rate</x:v>
      </x:c>
      <x:c r="E13" s="63" t="str">
        <x:v>CTO</x:v>
      </x:c>
      <x:c r="F13" s="63" t="str">
        <x:v>Critical failure rate (%)</x:v>
      </x:c>
      <x:c r="G13" s="63" t="str">
        <x:v>Weekly</x:v>
      </x:c>
      <x:c r="H13" s="63" t="str">
        <x:v>Lower is better</x:v>
      </x:c>
      <x:c r="I13" s="63" t="str">
        <x:v>%</x:v>
      </x:c>
      <x:c r="J13" s="63" t="str"/>
      <x:c r="K13" s="63" t="str"/>
      <x:c r="L13" s="63" t="str">
        <x:v>80% of reviewed outputs are useful.</x:v>
      </x:c>
      <x:c r="M13" s="63" t="str">
        <x:v>90% require little or no correction.</x:v>
      </x:c>
      <x:c r="N13" s="75" t="str"/>
      <x:c r="O13" s="63" t="str"/>
      <x:c r="P13" s="63" t="str"/>
    </x:row>
    <x:row r="14">
      <x:c r="A14" s="63" t="str">
        <x:v>P01-SUC-M01</x:v>
      </x:c>
      <x:c r="B14" s="63" t="str">
        <x:v>Foundation</x:v>
      </x:c>
      <x:c r="C14" s="63" t="str">
        <x:v>SUCCESS</x:v>
      </x:c>
      <x:c r="D14" s="63" t="str">
        <x:v>Time to first value</x:v>
      </x:c>
      <x:c r="E14" s="63" t="str">
        <x:v>COO</x:v>
      </x:c>
      <x:c r="F14" s="63" t="str">
        <x:v>Median time to first value (minutes)</x:v>
      </x:c>
      <x:c r="G14" s="63" t="str">
        <x:v>Weekly</x:v>
      </x:c>
      <x:c r="H14" s="63" t="str">
        <x:v>Lower is better</x:v>
      </x:c>
      <x:c r="I14" s="63" t="str">
        <x:v>minutes</x:v>
      </x:c>
      <x:c r="J14" s="63" t="str"/>
      <x:c r="K14" s="63" t="str"/>
      <x:c r="L14" s="63" t="str">
        <x:v>Useful output within 15 minutes of onboarding.</x:v>
      </x:c>
      <x:c r="M14" s="63" t="str">
        <x:v>Useful output within 5 minutes.</x:v>
      </x:c>
      <x:c r="N14" s="75" t="str"/>
      <x:c r="O14" s="63" t="str"/>
      <x:c r="P14" s="63" t="str"/>
    </x:row>
    <x:row r="15">
      <x:c r="A15" s="63" t="str">
        <x:v>P01-SUC-M02</x:v>
      </x:c>
      <x:c r="B15" s="63" t="str">
        <x:v>Foundation</x:v>
      </x:c>
      <x:c r="C15" s="63" t="str">
        <x:v>SUCCESS</x:v>
      </x:c>
      <x:c r="D15" s="63" t="str">
        <x:v>Time to first value</x:v>
      </x:c>
      <x:c r="E15" s="63" t="str">
        <x:v>COO</x:v>
      </x:c>
      <x:c r="F15" s="63" t="str">
        <x:v>Onboarding completion rate (%)</x:v>
      </x:c>
      <x:c r="G15" s="63" t="str">
        <x:v>Weekly</x:v>
      </x:c>
      <x:c r="H15" s="63" t="str">
        <x:v>Higher is better</x:v>
      </x:c>
      <x:c r="I15" s="63" t="str">
        <x:v>%</x:v>
      </x:c>
      <x:c r="J15" s="63" t="str"/>
      <x:c r="K15" s="63" t="str"/>
      <x:c r="L15" s="63" t="str">
        <x:v>Useful output within 15 minutes of onboarding.</x:v>
      </x:c>
      <x:c r="M15" s="63" t="str">
        <x:v>Useful output within 5 minutes.</x:v>
      </x:c>
      <x:c r="N15" s="75" t="str"/>
      <x:c r="O15" s="63" t="str"/>
      <x:c r="P15" s="63" t="str"/>
    </x:row>
    <x:row r="16">
      <x:c r="A16" s="63" t="str">
        <x:v>P01-SUC-M03</x:v>
      </x:c>
      <x:c r="B16" s="63" t="str">
        <x:v>Foundation</x:v>
      </x:c>
      <x:c r="C16" s="63" t="str">
        <x:v>SUCCESS</x:v>
      </x:c>
      <x:c r="D16" s="63" t="str">
        <x:v>Time to first value</x:v>
      </x:c>
      <x:c r="E16" s="63" t="str">
        <x:v>COO</x:v>
      </x:c>
      <x:c r="F16" s="63" t="str">
        <x:v>First-session success rate (%)</x:v>
      </x:c>
      <x:c r="G16" s="63" t="str">
        <x:v>Weekly</x:v>
      </x:c>
      <x:c r="H16" s="63" t="str">
        <x:v>Higher is better</x:v>
      </x:c>
      <x:c r="I16" s="63" t="str">
        <x:v>%</x:v>
      </x:c>
      <x:c r="J16" s="63" t="str"/>
      <x:c r="K16" s="63" t="str"/>
      <x:c r="L16" s="63" t="str">
        <x:v>Useful output within 15 minutes of onboarding.</x:v>
      </x:c>
      <x:c r="M16" s="63" t="str">
        <x:v>Useful output within 5 minutes.</x:v>
      </x:c>
      <x:c r="N16" s="75" t="str"/>
      <x:c r="O16" s="63" t="str"/>
      <x:c r="P16" s="63" t="str"/>
    </x:row>
    <x:row r="17">
      <x:c r="A17" s="63" t="str">
        <x:v>P01-SUC-M04</x:v>
      </x:c>
      <x:c r="B17" s="63" t="str">
        <x:v>Foundation</x:v>
      </x:c>
      <x:c r="C17" s="63" t="str">
        <x:v>SUCCESS</x:v>
      </x:c>
      <x:c r="D17" s="63" t="str">
        <x:v>Time to first value</x:v>
      </x:c>
      <x:c r="E17" s="63" t="str">
        <x:v>COO</x:v>
      </x:c>
      <x:c r="F17" s="63" t="str">
        <x:v>Setups requiring assistance (%)</x:v>
      </x:c>
      <x:c r="G17" s="63" t="str">
        <x:v>Weekly</x:v>
      </x:c>
      <x:c r="H17" s="63" t="str">
        <x:v>Higher is better</x:v>
      </x:c>
      <x:c r="I17" s="63" t="str">
        <x:v>%</x:v>
      </x:c>
      <x:c r="J17" s="63" t="str"/>
      <x:c r="K17" s="63" t="str"/>
      <x:c r="L17" s="63" t="str">
        <x:v>Useful output within 15 minutes of onboarding.</x:v>
      </x:c>
      <x:c r="M17" s="63" t="str">
        <x:v>Useful output within 5 minutes.</x:v>
      </x:c>
      <x:c r="N17" s="75" t="str"/>
      <x:c r="O17" s="63" t="str"/>
      <x:c r="P17" s="63" t="str"/>
    </x:row>
    <x:row r="18">
      <x:c r="A18" s="63" t="str">
        <x:v>P02-PRI-M01</x:v>
      </x:c>
      <x:c r="B18" s="63" t="str">
        <x:v>Validation</x:v>
      </x:c>
      <x:c r="C18" s="63" t="str">
        <x:v>PRICING</x:v>
      </x:c>
      <x:c r="D18" s="63" t="str">
        <x:v>Pilot-to-paid conversion</x:v>
      </x:c>
      <x:c r="E18" s="63" t="str">
        <x:v>CEO</x:v>
      </x:c>
      <x:c r="F18" s="63" t="str">
        <x:v>Completed pilots (#)</x:v>
      </x:c>
      <x:c r="G18" s="63" t="str">
        <x:v>Weekly</x:v>
      </x:c>
      <x:c r="H18" s="63" t="str">
        <x:v>Higher is better</x:v>
      </x:c>
      <x:c r="I18" s="63" t="str">
        <x:v>#</x:v>
      </x:c>
      <x:c r="J18" s="63" t="str"/>
      <x:c r="K18" s="63" t="str"/>
      <x:c r="L18" s="63" t="str">
        <x:v>30% pilot-to-paid conversion.</x:v>
      </x:c>
      <x:c r="M18" s="63" t="str">
        <x:v>50% pilot-to-paid conversion.</x:v>
      </x:c>
      <x:c r="N18" s="75" t="str"/>
      <x:c r="O18" s="63" t="str"/>
      <x:c r="P18" s="63" t="str"/>
    </x:row>
    <x:row r="19">
      <x:c r="A19" s="63" t="str">
        <x:v>P02-PRI-M02</x:v>
      </x:c>
      <x:c r="B19" s="63" t="str">
        <x:v>Validation</x:v>
      </x:c>
      <x:c r="C19" s="63" t="str">
        <x:v>PRICING</x:v>
      </x:c>
      <x:c r="D19" s="63" t="str">
        <x:v>Pilot-to-paid conversion</x:v>
      </x:c>
      <x:c r="E19" s="63" t="str">
        <x:v>CEO</x:v>
      </x:c>
      <x:c r="F19" s="63" t="str">
        <x:v>Paid conversions (# and %)</x:v>
      </x:c>
      <x:c r="G19" s="63" t="str">
        <x:v>Weekly</x:v>
      </x:c>
      <x:c r="H19" s="63" t="str">
        <x:v>Higher is better</x:v>
      </x:c>
      <x:c r="I19" s="63" t="str">
        <x:v># and %</x:v>
      </x:c>
      <x:c r="J19" s="63" t="str"/>
      <x:c r="K19" s="63" t="str"/>
      <x:c r="L19" s="63" t="str">
        <x:v>30% pilot-to-paid conversion.</x:v>
      </x:c>
      <x:c r="M19" s="63" t="str">
        <x:v>50% pilot-to-paid conversion.</x:v>
      </x:c>
      <x:c r="N19" s="75" t="str"/>
      <x:c r="O19" s="63" t="str"/>
      <x:c r="P19" s="63" t="str"/>
    </x:row>
    <x:row r="20">
      <x:c r="A20" s="63" t="str">
        <x:v>P02-PRI-M03</x:v>
      </x:c>
      <x:c r="B20" s="63" t="str">
        <x:v>Validation</x:v>
      </x:c>
      <x:c r="C20" s="63" t="str">
        <x:v>PRICING</x:v>
      </x:c>
      <x:c r="D20" s="63" t="str">
        <x:v>Pilot-to-paid conversion</x:v>
      </x:c>
      <x:c r="E20" s="63" t="str">
        <x:v>CEO</x:v>
      </x:c>
      <x:c r="F20" s="63" t="str">
        <x:v>Average initial contract value ($)</x:v>
      </x:c>
      <x:c r="G20" s="63" t="str">
        <x:v>Weekly</x:v>
      </x:c>
      <x:c r="H20" s="63" t="str">
        <x:v>Higher is better</x:v>
      </x:c>
      <x:c r="I20" s="63" t="str">
        <x:v>$</x:v>
      </x:c>
      <x:c r="J20" s="63" t="str"/>
      <x:c r="K20" s="63" t="str"/>
      <x:c r="L20" s="63" t="str">
        <x:v>30% pilot-to-paid conversion.</x:v>
      </x:c>
      <x:c r="M20" s="63" t="str">
        <x:v>50% pilot-to-paid conversion.</x:v>
      </x:c>
      <x:c r="N20" s="75" t="str"/>
      <x:c r="O20" s="63" t="str"/>
      <x:c r="P20" s="63" t="str"/>
    </x:row>
    <x:row r="21">
      <x:c r="A21" s="63" t="str">
        <x:v>P02-PRI-M04</x:v>
      </x:c>
      <x:c r="B21" s="63" t="str">
        <x:v>Validation</x:v>
      </x:c>
      <x:c r="C21" s="63" t="str">
        <x:v>PRICING</x:v>
      </x:c>
      <x:c r="D21" s="63" t="str">
        <x:v>Pilot-to-paid conversion</x:v>
      </x:c>
      <x:c r="E21" s="63" t="str">
        <x:v>CEO</x:v>
      </x:c>
      <x:c r="F21" s="63" t="str">
        <x:v>Median conversion cycle (days)</x:v>
      </x:c>
      <x:c r="G21" s="63" t="str">
        <x:v>Weekly</x:v>
      </x:c>
      <x:c r="H21" s="63" t="str">
        <x:v>Higher is better</x:v>
      </x:c>
      <x:c r="I21" s="63" t="str">
        <x:v>days</x:v>
      </x:c>
      <x:c r="J21" s="63" t="str"/>
      <x:c r="K21" s="63" t="str"/>
      <x:c r="L21" s="63" t="str">
        <x:v>30% pilot-to-paid conversion.</x:v>
      </x:c>
      <x:c r="M21" s="63" t="str">
        <x:v>50% pilot-to-paid conversion.</x:v>
      </x:c>
      <x:c r="N21" s="75" t="str"/>
      <x:c r="O21" s="63" t="str"/>
      <x:c r="P21" s="63" t="str"/>
    </x:row>
    <x:row r="22">
      <x:c r="A22" s="63" t="str">
        <x:v>P02-PRO-M01</x:v>
      </x:c>
      <x:c r="B22" s="63" t="str">
        <x:v>Validation</x:v>
      </x:c>
      <x:c r="C22" s="63" t="str">
        <x:v>PRODUCT</x:v>
      </x:c>
      <x:c r="D22" s="63" t="str">
        <x:v>Four-week team retention</x:v>
      </x:c>
      <x:c r="E22" s="63" t="str">
        <x:v>CTO</x:v>
      </x:c>
      <x:c r="F22" s="63" t="str">
        <x:v>Activated teams by cohort (#)</x:v>
      </x:c>
      <x:c r="G22" s="63" t="str">
        <x:v>Weekly</x:v>
      </x:c>
      <x:c r="H22" s="63" t="str">
        <x:v>Higher is better</x:v>
      </x:c>
      <x:c r="I22" s="63" t="str">
        <x:v>#</x:v>
      </x:c>
      <x:c r="J22" s="63" t="str"/>
      <x:c r="K22" s="63" t="str"/>
      <x:c r="L22" s="63" t="str">
        <x:v>50% of pilot teams remain active at week four.</x:v>
      </x:c>
      <x:c r="M22" s="63" t="str">
        <x:v>65% of pilot teams remain active at week four.</x:v>
      </x:c>
      <x:c r="N22" s="75" t="str"/>
      <x:c r="O22" s="63" t="str"/>
      <x:c r="P22" s="63" t="str"/>
    </x:row>
    <x:row r="23">
      <x:c r="A23" s="63" t="str">
        <x:v>P02-PRO-M02</x:v>
      </x:c>
      <x:c r="B23" s="63" t="str">
        <x:v>Validation</x:v>
      </x:c>
      <x:c r="C23" s="63" t="str">
        <x:v>PRODUCT</x:v>
      </x:c>
      <x:c r="D23" s="63" t="str">
        <x:v>Four-week team retention</x:v>
      </x:c>
      <x:c r="E23" s="63" t="str">
        <x:v>CTO</x:v>
      </x:c>
      <x:c r="F23" s="63" t="str">
        <x:v>Four- or eight-week retention (%)</x:v>
      </x:c>
      <x:c r="G23" s="63" t="str">
        <x:v>Weekly</x:v>
      </x:c>
      <x:c r="H23" s="63" t="str">
        <x:v>Higher is better</x:v>
      </x:c>
      <x:c r="I23" s="63" t="str">
        <x:v>%</x:v>
      </x:c>
      <x:c r="J23" s="63" t="str"/>
      <x:c r="K23" s="63" t="str"/>
      <x:c r="L23" s="63" t="str">
        <x:v>50% of pilot teams remain active at week four.</x:v>
      </x:c>
      <x:c r="M23" s="63" t="str">
        <x:v>65% of pilot teams remain active at week four.</x:v>
      </x:c>
      <x:c r="N23" s="75" t="str"/>
      <x:c r="O23" s="63" t="str"/>
      <x:c r="P23" s="63" t="str"/>
    </x:row>
    <x:row r="24">
      <x:c r="A24" s="63" t="str">
        <x:v>P02-PRO-M03</x:v>
      </x:c>
      <x:c r="B24" s="63" t="str">
        <x:v>Validation</x:v>
      </x:c>
      <x:c r="C24" s="63" t="str">
        <x:v>PRODUCT</x:v>
      </x:c>
      <x:c r="D24" s="63" t="str">
        <x:v>Four-week team retention</x:v>
      </x:c>
      <x:c r="E24" s="63" t="str">
        <x:v>CTO</x:v>
      </x:c>
      <x:c r="F24" s="63" t="str">
        <x:v>Weekly active team rate (%)</x:v>
      </x:c>
      <x:c r="G24" s="63" t="str">
        <x:v>Weekly</x:v>
      </x:c>
      <x:c r="H24" s="63" t="str">
        <x:v>Higher is better</x:v>
      </x:c>
      <x:c r="I24" s="63" t="str">
        <x:v>%</x:v>
      </x:c>
      <x:c r="J24" s="63" t="str"/>
      <x:c r="K24" s="63" t="str"/>
      <x:c r="L24" s="63" t="str">
        <x:v>50% of pilot teams remain active at week four.</x:v>
      </x:c>
      <x:c r="M24" s="63" t="str">
        <x:v>65% of pilot teams remain active at week four.</x:v>
      </x:c>
      <x:c r="N24" s="75" t="str"/>
      <x:c r="O24" s="63" t="str"/>
      <x:c r="P24" s="63" t="str"/>
    </x:row>
    <x:row r="25">
      <x:c r="A25" s="63" t="str">
        <x:v>P02-PRO-M04</x:v>
      </x:c>
      <x:c r="B25" s="63" t="str">
        <x:v>Validation</x:v>
      </x:c>
      <x:c r="C25" s="63" t="str">
        <x:v>PRODUCT</x:v>
      </x:c>
      <x:c r="D25" s="63" t="str">
        <x:v>Four-week team retention</x:v>
      </x:c>
      <x:c r="E25" s="63" t="str">
        <x:v>CTO</x:v>
      </x:c>
      <x:c r="F25" s="63" t="str">
        <x:v>Meaningful workflows per team (#)</x:v>
      </x:c>
      <x:c r="G25" s="63" t="str">
        <x:v>Weekly</x:v>
      </x:c>
      <x:c r="H25" s="63" t="str">
        <x:v>Higher is better</x:v>
      </x:c>
      <x:c r="I25" s="63" t="str">
        <x:v>#</x:v>
      </x:c>
      <x:c r="J25" s="63" t="str"/>
      <x:c r="K25" s="63" t="str"/>
      <x:c r="L25" s="63" t="str">
        <x:v>50% of pilot teams remain active at week four.</x:v>
      </x:c>
      <x:c r="M25" s="63" t="str">
        <x:v>65% of pilot teams remain active at week four.</x:v>
      </x:c>
      <x:c r="N25" s="75" t="str"/>
      <x:c r="O25" s="63" t="str"/>
      <x:c r="P25" s="63" t="str"/>
    </x:row>
    <x:row r="26">
      <x:c r="A26" s="63" t="str">
        <x:v>P02-SUC-M01</x:v>
      </x:c>
      <x:c r="B26" s="63" t="str">
        <x:v>Validation</x:v>
      </x:c>
      <x:c r="C26" s="63" t="str">
        <x:v>SUCCESS</x:v>
      </x:c>
      <x:c r="D26" s="63" t="str">
        <x:v>Verified hours saved</x:v>
      </x:c>
      <x:c r="E26" s="63" t="str">
        <x:v>COO</x:v>
      </x:c>
      <x:c r="F26" s="63" t="str">
        <x:v>Verified hours saved per team per week</x:v>
      </x:c>
      <x:c r="G26" s="63" t="str">
        <x:v>Weekly</x:v>
      </x:c>
      <x:c r="H26" s="63" t="str">
        <x:v>Higher is better</x:v>
      </x:c>
      <x:c r="I26" s="63" t="str"/>
      <x:c r="J26" s="63" t="str"/>
      <x:c r="K26" s="63" t="str"/>
      <x:c r="L26" s="63" t="str">
        <x:v>1 verified hour saved per team each week.</x:v>
      </x:c>
      <x:c r="M26" s="63" t="str">
        <x:v>2 verified hours saved per team each week.</x:v>
      </x:c>
      <x:c r="N26" s="75" t="str"/>
      <x:c r="O26" s="63" t="str"/>
      <x:c r="P26" s="63" t="str"/>
    </x:row>
    <x:row r="27">
      <x:c r="A27" s="63" t="str">
        <x:v>P02-SUC-M02</x:v>
      </x:c>
      <x:c r="B27" s="63" t="str">
        <x:v>Validation</x:v>
      </x:c>
      <x:c r="C27" s="63" t="str">
        <x:v>SUCCESS</x:v>
      </x:c>
      <x:c r="D27" s="63" t="str">
        <x:v>Verified hours saved</x:v>
      </x:c>
      <x:c r="E27" s="63" t="str">
        <x:v>COO</x:v>
      </x:c>
      <x:c r="F27" s="63" t="str">
        <x:v>Customers validating time saved (%)</x:v>
      </x:c>
      <x:c r="G27" s="63" t="str">
        <x:v>Weekly</x:v>
      </x:c>
      <x:c r="H27" s="63" t="str">
        <x:v>Lower is better</x:v>
      </x:c>
      <x:c r="I27" s="63" t="str">
        <x:v>%</x:v>
      </x:c>
      <x:c r="J27" s="63" t="str"/>
      <x:c r="K27" s="63" t="str"/>
      <x:c r="L27" s="63" t="str">
        <x:v>1 verified hour saved per team each week.</x:v>
      </x:c>
      <x:c r="M27" s="63" t="str">
        <x:v>2 verified hours saved per team each week.</x:v>
      </x:c>
      <x:c r="N27" s="75" t="str"/>
      <x:c r="O27" s="63" t="str"/>
      <x:c r="P27" s="63" t="str"/>
    </x:row>
    <x:row r="28">
      <x:c r="A28" s="63" t="str">
        <x:v>P02-SUC-M03</x:v>
      </x:c>
      <x:c r="B28" s="63" t="str">
        <x:v>Validation</x:v>
      </x:c>
      <x:c r="C28" s="63" t="str">
        <x:v>SUCCESS</x:v>
      </x:c>
      <x:c r="D28" s="63" t="str">
        <x:v>Verified hours saved</x:v>
      </x:c>
      <x:c r="E28" s="63" t="str">
        <x:v>COO</x:v>
      </x:c>
      <x:c r="F28" s="63" t="str">
        <x:v>Baseline workflow time (minutes)</x:v>
      </x:c>
      <x:c r="G28" s="63" t="str">
        <x:v>Weekly</x:v>
      </x:c>
      <x:c r="H28" s="63" t="str">
        <x:v>Lower is better</x:v>
      </x:c>
      <x:c r="I28" s="63" t="str">
        <x:v>minutes</x:v>
      </x:c>
      <x:c r="J28" s="63" t="str"/>
      <x:c r="K28" s="63" t="str"/>
      <x:c r="L28" s="63" t="str">
        <x:v>1 verified hour saved per team each week.</x:v>
      </x:c>
      <x:c r="M28" s="63" t="str">
        <x:v>2 verified hours saved per team each week.</x:v>
      </x:c>
      <x:c r="N28" s="75" t="str"/>
      <x:c r="O28" s="63" t="str"/>
      <x:c r="P28" s="63" t="str"/>
    </x:row>
    <x:row r="29">
      <x:c r="A29" s="63" t="str">
        <x:v>P02-SUC-M04</x:v>
      </x:c>
      <x:c r="B29" s="63" t="str">
        <x:v>Validation</x:v>
      </x:c>
      <x:c r="C29" s="63" t="str">
        <x:v>SUCCESS</x:v>
      </x:c>
      <x:c r="D29" s="63" t="str">
        <x:v>Verified hours saved</x:v>
      </x:c>
      <x:c r="E29" s="63" t="str">
        <x:v>COO</x:v>
      </x:c>
      <x:c r="F29" s="63" t="str">
        <x:v>Post-JasonAI workflow time (minutes)</x:v>
      </x:c>
      <x:c r="G29" s="63" t="str">
        <x:v>Weekly</x:v>
      </x:c>
      <x:c r="H29" s="63" t="str">
        <x:v>Lower is better</x:v>
      </x:c>
      <x:c r="I29" s="63" t="str">
        <x:v>minutes</x:v>
      </x:c>
      <x:c r="J29" s="63" t="str"/>
      <x:c r="K29" s="63" t="str"/>
      <x:c r="L29" s="63" t="str">
        <x:v>1 verified hour saved per team each week.</x:v>
      </x:c>
      <x:c r="M29" s="63" t="str">
        <x:v>2 verified hours saved per team each week.</x:v>
      </x:c>
      <x:c r="N29" s="75" t="str"/>
      <x:c r="O29" s="63" t="str"/>
      <x:c r="P29" s="63" t="str"/>
    </x:row>
    <x:row r="30">
      <x:c r="A30" s="63" t="str">
        <x:v>P03-PRI-M01</x:v>
      </x:c>
      <x:c r="B30" s="63" t="str">
        <x:v>Inflection</x:v>
      </x:c>
      <x:c r="C30" s="63" t="str">
        <x:v>PRICING</x:v>
      </x:c>
      <x:c r="D30" s="63" t="str">
        <x:v>Average revenue per team</x:v>
      </x:c>
      <x:c r="E30" s="63" t="str">
        <x:v>CEO</x:v>
      </x:c>
      <x:c r="F30" s="63" t="str">
        <x:v>Average monthly revenue per team ($)</x:v>
      </x:c>
      <x:c r="G30" s="63" t="str">
        <x:v>Weekly</x:v>
      </x:c>
      <x:c r="H30" s="63" t="str">
        <x:v>Higher is better</x:v>
      </x:c>
      <x:c r="I30" s="63" t="str">
        <x:v>$</x:v>
      </x:c>
      <x:c r="J30" s="63" t="str"/>
      <x:c r="K30" s="63" t="str"/>
      <x:c r="L30" s="63" t="str">
        <x:v>$40 average monthly revenue per team.</x:v>
      </x:c>
      <x:c r="M30" s="63" t="str">
        <x:v>$75 average monthly revenue per team.</x:v>
      </x:c>
      <x:c r="N30" s="75" t="str"/>
      <x:c r="O30" s="63" t="str"/>
      <x:c r="P30" s="63" t="str"/>
    </x:row>
    <x:row r="31">
      <x:c r="A31" s="63" t="str">
        <x:v>P03-PRI-M02</x:v>
      </x:c>
      <x:c r="B31" s="63" t="str">
        <x:v>Inflection</x:v>
      </x:c>
      <x:c r="C31" s="63" t="str">
        <x:v>PRICING</x:v>
      </x:c>
      <x:c r="D31" s="63" t="str">
        <x:v>Average revenue per team</x:v>
      </x:c>
      <x:c r="E31" s="63" t="str">
        <x:v>CEO</x:v>
      </x:c>
      <x:c r="F31" s="63" t="str">
        <x:v>Expansion revenue per team ($)</x:v>
      </x:c>
      <x:c r="G31" s="63" t="str">
        <x:v>Weekly</x:v>
      </x:c>
      <x:c r="H31" s="63" t="str">
        <x:v>Higher is better</x:v>
      </x:c>
      <x:c r="I31" s="63" t="str">
        <x:v>$</x:v>
      </x:c>
      <x:c r="J31" s="63" t="str"/>
      <x:c r="K31" s="63" t="str"/>
      <x:c r="L31" s="63" t="str">
        <x:v>$40 average monthly revenue per team.</x:v>
      </x:c>
      <x:c r="M31" s="63" t="str">
        <x:v>$75 average monthly revenue per team.</x:v>
      </x:c>
      <x:c r="N31" s="75" t="str"/>
      <x:c r="O31" s="63" t="str"/>
      <x:c r="P31" s="63" t="str"/>
    </x:row>
    <x:row r="32">
      <x:c r="A32" s="63" t="str">
        <x:v>P03-PRI-M03</x:v>
      </x:c>
      <x:c r="B32" s="63" t="str">
        <x:v>Inflection</x:v>
      </x:c>
      <x:c r="C32" s="63" t="str">
        <x:v>PRICING</x:v>
      </x:c>
      <x:c r="D32" s="63" t="str">
        <x:v>Average revenue per team</x:v>
      </x:c>
      <x:c r="E32" s="63" t="str">
        <x:v>CEO</x:v>
      </x:c>
      <x:c r="F32" s="63" t="str">
        <x:v>Discount rate (%)</x:v>
      </x:c>
      <x:c r="G32" s="63" t="str">
        <x:v>Weekly</x:v>
      </x:c>
      <x:c r="H32" s="63" t="str">
        <x:v>Higher is better</x:v>
      </x:c>
      <x:c r="I32" s="63" t="str">
        <x:v>%</x:v>
      </x:c>
      <x:c r="J32" s="63" t="str"/>
      <x:c r="K32" s="63" t="str"/>
      <x:c r="L32" s="63" t="str">
        <x:v>$40 average monthly revenue per team.</x:v>
      </x:c>
      <x:c r="M32" s="63" t="str">
        <x:v>$75 average monthly revenue per team.</x:v>
      </x:c>
      <x:c r="N32" s="75" t="str"/>
      <x:c r="O32" s="63" t="str"/>
      <x:c r="P32" s="63" t="str"/>
    </x:row>
    <x:row r="33">
      <x:c r="A33" s="63" t="str">
        <x:v>P03-PRI-M04</x:v>
      </x:c>
      <x:c r="B33" s="63" t="str">
        <x:v>Inflection</x:v>
      </x:c>
      <x:c r="C33" s="63" t="str">
        <x:v>PRICING</x:v>
      </x:c>
      <x:c r="D33" s="63" t="str">
        <x:v>Average revenue per team</x:v>
      </x:c>
      <x:c r="E33" s="63" t="str">
        <x:v>CEO</x:v>
      </x:c>
      <x:c r="F33" s="63" t="str">
        <x:v>Realized price by package ($)</x:v>
      </x:c>
      <x:c r="G33" s="63" t="str">
        <x:v>Weekly</x:v>
      </x:c>
      <x:c r="H33" s="63" t="str">
        <x:v>Higher is better</x:v>
      </x:c>
      <x:c r="I33" s="63" t="str">
        <x:v>$</x:v>
      </x:c>
      <x:c r="J33" s="63" t="str"/>
      <x:c r="K33" s="63" t="str"/>
      <x:c r="L33" s="63" t="str">
        <x:v>$40 average monthly revenue per team.</x:v>
      </x:c>
      <x:c r="M33" s="63" t="str">
        <x:v>$75 average monthly revenue per team.</x:v>
      </x:c>
      <x:c r="N33" s="75" t="str"/>
      <x:c r="O33" s="63" t="str"/>
      <x:c r="P33" s="63" t="str"/>
    </x:row>
    <x:row r="34">
      <x:c r="A34" s="63" t="str">
        <x:v>P03-PRO-M01</x:v>
      </x:c>
      <x:c r="B34" s="63" t="str">
        <x:v>Inflection</x:v>
      </x:c>
      <x:c r="C34" s="63" t="str">
        <x:v>PRODUCT</x:v>
      </x:c>
      <x:c r="D34" s="63" t="str">
        <x:v>Eight-week retention</x:v>
      </x:c>
      <x:c r="E34" s="63" t="str">
        <x:v>CTO</x:v>
      </x:c>
      <x:c r="F34" s="63" t="str">
        <x:v>Activated teams by cohort (#)</x:v>
      </x:c>
      <x:c r="G34" s="63" t="str">
        <x:v>Weekly</x:v>
      </x:c>
      <x:c r="H34" s="63" t="str">
        <x:v>Higher is better</x:v>
      </x:c>
      <x:c r="I34" s="63" t="str">
        <x:v>#</x:v>
      </x:c>
      <x:c r="J34" s="63" t="str"/>
      <x:c r="K34" s="63" t="str"/>
      <x:c r="L34" s="63" t="str">
        <x:v>60% of teams remain active at week eight.</x:v>
      </x:c>
      <x:c r="M34" s="63" t="str">
        <x:v>75% of teams remain active at week eight.</x:v>
      </x:c>
      <x:c r="N34" s="75" t="str"/>
      <x:c r="O34" s="63" t="str"/>
      <x:c r="P34" s="63" t="str"/>
    </x:row>
    <x:row r="35">
      <x:c r="A35" s="63" t="str">
        <x:v>P03-PRO-M02</x:v>
      </x:c>
      <x:c r="B35" s="63" t="str">
        <x:v>Inflection</x:v>
      </x:c>
      <x:c r="C35" s="63" t="str">
        <x:v>PRODUCT</x:v>
      </x:c>
      <x:c r="D35" s="63" t="str">
        <x:v>Eight-week retention</x:v>
      </x:c>
      <x:c r="E35" s="63" t="str">
        <x:v>CTO</x:v>
      </x:c>
      <x:c r="F35" s="63" t="str">
        <x:v>Four- or eight-week retention (%)</x:v>
      </x:c>
      <x:c r="G35" s="63" t="str">
        <x:v>Weekly</x:v>
      </x:c>
      <x:c r="H35" s="63" t="str">
        <x:v>Higher is better</x:v>
      </x:c>
      <x:c r="I35" s="63" t="str">
        <x:v>%</x:v>
      </x:c>
      <x:c r="J35" s="63" t="str"/>
      <x:c r="K35" s="63" t="str"/>
      <x:c r="L35" s="63" t="str">
        <x:v>60% of teams remain active at week eight.</x:v>
      </x:c>
      <x:c r="M35" s="63" t="str">
        <x:v>75% of teams remain active at week eight.</x:v>
      </x:c>
      <x:c r="N35" s="75" t="str"/>
      <x:c r="O35" s="63" t="str"/>
      <x:c r="P35" s="63" t="str"/>
    </x:row>
    <x:row r="36">
      <x:c r="A36" s="63" t="str">
        <x:v>P03-PRO-M03</x:v>
      </x:c>
      <x:c r="B36" s="63" t="str">
        <x:v>Inflection</x:v>
      </x:c>
      <x:c r="C36" s="63" t="str">
        <x:v>PRODUCT</x:v>
      </x:c>
      <x:c r="D36" s="63" t="str">
        <x:v>Eight-week retention</x:v>
      </x:c>
      <x:c r="E36" s="63" t="str">
        <x:v>CTO</x:v>
      </x:c>
      <x:c r="F36" s="63" t="str">
        <x:v>Weekly active team rate (%)</x:v>
      </x:c>
      <x:c r="G36" s="63" t="str">
        <x:v>Weekly</x:v>
      </x:c>
      <x:c r="H36" s="63" t="str">
        <x:v>Higher is better</x:v>
      </x:c>
      <x:c r="I36" s="63" t="str">
        <x:v>%</x:v>
      </x:c>
      <x:c r="J36" s="63" t="str"/>
      <x:c r="K36" s="63" t="str"/>
      <x:c r="L36" s="63" t="str">
        <x:v>60% of teams remain active at week eight.</x:v>
      </x:c>
      <x:c r="M36" s="63" t="str">
        <x:v>75% of teams remain active at week eight.</x:v>
      </x:c>
      <x:c r="N36" s="75" t="str"/>
      <x:c r="O36" s="63" t="str"/>
      <x:c r="P36" s="63" t="str"/>
    </x:row>
    <x:row r="37">
      <x:c r="A37" s="63" t="str">
        <x:v>P03-PRO-M04</x:v>
      </x:c>
      <x:c r="B37" s="63" t="str">
        <x:v>Inflection</x:v>
      </x:c>
      <x:c r="C37" s="63" t="str">
        <x:v>PRODUCT</x:v>
      </x:c>
      <x:c r="D37" s="63" t="str">
        <x:v>Eight-week retention</x:v>
      </x:c>
      <x:c r="E37" s="63" t="str">
        <x:v>CTO</x:v>
      </x:c>
      <x:c r="F37" s="63" t="str">
        <x:v>Meaningful workflows per team (#)</x:v>
      </x:c>
      <x:c r="G37" s="63" t="str">
        <x:v>Weekly</x:v>
      </x:c>
      <x:c r="H37" s="63" t="str">
        <x:v>Higher is better</x:v>
      </x:c>
      <x:c r="I37" s="63" t="str">
        <x:v>#</x:v>
      </x:c>
      <x:c r="J37" s="63" t="str"/>
      <x:c r="K37" s="63" t="str"/>
      <x:c r="L37" s="63" t="str">
        <x:v>60% of teams remain active at week eight.</x:v>
      </x:c>
      <x:c r="M37" s="63" t="str">
        <x:v>75% of teams remain active at week eight.</x:v>
      </x:c>
      <x:c r="N37" s="75" t="str"/>
      <x:c r="O37" s="63" t="str"/>
      <x:c r="P37" s="63" t="str"/>
    </x:row>
    <x:row r="38">
      <x:c r="A38" s="63" t="str">
        <x:v>P03-SUC-M01</x:v>
      </x:c>
      <x:c r="B38" s="63" t="str">
        <x:v>Inflection</x:v>
      </x:c>
      <x:c r="C38" s="63" t="str">
        <x:v>SUCCESS</x:v>
      </x:c>
      <x:c r="D38" s="63" t="str">
        <x:v>Customer-confirmed ROI</x:v>
      </x:c>
      <x:c r="E38" s="63" t="str">
        <x:v>COO</x:v>
      </x:c>
      <x:c r="F38" s="63" t="str">
        <x:v>Customers confirming positive ROI (%)</x:v>
      </x:c>
      <x:c r="G38" s="63" t="str">
        <x:v>Weekly</x:v>
      </x:c>
      <x:c r="H38" s="63" t="str">
        <x:v>Higher is better</x:v>
      </x:c>
      <x:c r="I38" s="63" t="str">
        <x:v>%</x:v>
      </x:c>
      <x:c r="J38" s="63" t="str"/>
      <x:c r="K38" s="63" t="str"/>
      <x:c r="L38" s="63" t="str">
        <x:v>70% of customers confirm positive ROI.</x:v>
      </x:c>
      <x:c r="M38" s="63" t="str">
        <x:v>85% of customers confirm positive ROI.</x:v>
      </x:c>
      <x:c r="N38" s="75" t="str"/>
      <x:c r="O38" s="63" t="str"/>
      <x:c r="P38" s="63" t="str"/>
    </x:row>
    <x:row r="39">
      <x:c r="A39" s="63" t="str">
        <x:v>P03-SUC-M02</x:v>
      </x:c>
      <x:c r="B39" s="63" t="str">
        <x:v>Inflection</x:v>
      </x:c>
      <x:c r="C39" s="63" t="str">
        <x:v>SUCCESS</x:v>
      </x:c>
      <x:c r="D39" s="63" t="str">
        <x:v>Customer-confirmed ROI</x:v>
      </x:c>
      <x:c r="E39" s="63" t="str">
        <x:v>COO</x:v>
      </x:c>
      <x:c r="F39" s="63" t="str">
        <x:v>Average customer ROI score</x:v>
      </x:c>
      <x:c r="G39" s="63" t="str">
        <x:v>Weekly</x:v>
      </x:c>
      <x:c r="H39" s="63" t="str">
        <x:v>Higher is better</x:v>
      </x:c>
      <x:c r="I39" s="63" t="str"/>
      <x:c r="J39" s="63" t="str"/>
      <x:c r="K39" s="63" t="str"/>
      <x:c r="L39" s="63" t="str">
        <x:v>70% of customers confirm positive ROI.</x:v>
      </x:c>
      <x:c r="M39" s="63" t="str">
        <x:v>85% of customers confirm positive ROI.</x:v>
      </x:c>
      <x:c r="N39" s="75" t="str"/>
      <x:c r="O39" s="63" t="str"/>
      <x:c r="P39" s="63" t="str"/>
    </x:row>
    <x:row r="40">
      <x:c r="A40" s="63" t="str">
        <x:v>P03-SUC-M03</x:v>
      </x:c>
      <x:c r="B40" s="63" t="str">
        <x:v>Inflection</x:v>
      </x:c>
      <x:c r="C40" s="63" t="str">
        <x:v>SUCCESS</x:v>
      </x:c>
      <x:c r="D40" s="63" t="str">
        <x:v>Customer-confirmed ROI</x:v>
      </x:c>
      <x:c r="E40" s="63" t="str">
        <x:v>COO</x:v>
      </x:c>
      <x:c r="F40" s="63" t="str">
        <x:v>Estimated monthly value delivered ($)</x:v>
      </x:c>
      <x:c r="G40" s="63" t="str">
        <x:v>Weekly</x:v>
      </x:c>
      <x:c r="H40" s="63" t="str">
        <x:v>Higher is better</x:v>
      </x:c>
      <x:c r="I40" s="63" t="str">
        <x:v>$</x:v>
      </x:c>
      <x:c r="J40" s="63" t="str"/>
      <x:c r="K40" s="63" t="str"/>
      <x:c r="L40" s="63" t="str">
        <x:v>70% of customers confirm positive ROI.</x:v>
      </x:c>
      <x:c r="M40" s="63" t="str">
        <x:v>85% of customers confirm positive ROI.</x:v>
      </x:c>
      <x:c r="N40" s="75" t="str"/>
      <x:c r="O40" s="63" t="str"/>
      <x:c r="P40" s="63" t="str"/>
    </x:row>
    <x:row r="41">
      <x:c r="A41" s="63" t="str">
        <x:v>P03-SUC-M04</x:v>
      </x:c>
      <x:c r="B41" s="63" t="str">
        <x:v>Inflection</x:v>
      </x:c>
      <x:c r="C41" s="63" t="str">
        <x:v>SUCCESS</x:v>
      </x:c>
      <x:c r="D41" s="63" t="str">
        <x:v>Customer-confirmed ROI</x:v>
      </x:c>
      <x:c r="E41" s="63" t="str">
        <x:v>COO</x:v>
      </x:c>
      <x:c r="F41" s="63" t="str">
        <x:v>ROI reviews completed on time (%)</x:v>
      </x:c>
      <x:c r="G41" s="63" t="str">
        <x:v>Weekly</x:v>
      </x:c>
      <x:c r="H41" s="63" t="str">
        <x:v>Lower is better</x:v>
      </x:c>
      <x:c r="I41" s="63" t="str">
        <x:v>%</x:v>
      </x:c>
      <x:c r="J41" s="63" t="str"/>
      <x:c r="K41" s="63" t="str"/>
      <x:c r="L41" s="63" t="str">
        <x:v>70% of customers confirm positive ROI.</x:v>
      </x:c>
      <x:c r="M41" s="63" t="str">
        <x:v>85% of customers confirm positive ROI.</x:v>
      </x:c>
      <x:c r="N41" s="75" t="str"/>
      <x:c r="O41" s="63" t="str"/>
      <x:c r="P41" s="63" t="str"/>
    </x:row>
    <x:row r="42">
      <x:c r="A42" s="63" t="str">
        <x:v>P04-PRI-M01</x:v>
      </x:c>
      <x:c r="B42" s="63" t="str">
        <x:v>Scale</x:v>
      </x:c>
      <x:c r="C42" s="63" t="str">
        <x:v>PRICING</x:v>
      </x:c>
      <x:c r="D42" s="63" t="str">
        <x:v>LTV:CAC</x:v>
      </x:c>
      <x:c r="E42" s="63" t="str">
        <x:v>CEO</x:v>
      </x:c>
      <x:c r="F42" s="63" t="str">
        <x:v>Customer acquisition cost by channel ($)</x:v>
      </x:c>
      <x:c r="G42" s="63" t="str">
        <x:v>Weekly</x:v>
      </x:c>
      <x:c r="H42" s="63" t="str">
        <x:v>Higher is better</x:v>
      </x:c>
      <x:c r="I42" s="63" t="str">
        <x:v>$</x:v>
      </x:c>
      <x:c r="J42" s="63" t="str"/>
      <x:c r="K42" s="63" t="str"/>
      <x:c r="L42" s="63" t="str">
        <x:v>3x lifetime value to acquisition cost.</x:v>
      </x:c>
      <x:c r="M42" s="63" t="str">
        <x:v>4x lifetime value to acquisition cost.</x:v>
      </x:c>
      <x:c r="N42" s="75" t="str"/>
      <x:c r="O42" s="63" t="str"/>
      <x:c r="P42" s="63" t="str"/>
    </x:row>
    <x:row r="43">
      <x:c r="A43" s="63" t="str">
        <x:v>P04-PRI-M02</x:v>
      </x:c>
      <x:c r="B43" s="63" t="str">
        <x:v>Scale</x:v>
      </x:c>
      <x:c r="C43" s="63" t="str">
        <x:v>PRICING</x:v>
      </x:c>
      <x:c r="D43" s="63" t="str">
        <x:v>LTV:CAC</x:v>
      </x:c>
      <x:c r="E43" s="63" t="str">
        <x:v>CEO</x:v>
      </x:c>
      <x:c r="F43" s="63" t="str">
        <x:v>Estimated customer lifetime value ($)</x:v>
      </x:c>
      <x:c r="G43" s="63" t="str">
        <x:v>Weekly</x:v>
      </x:c>
      <x:c r="H43" s="63" t="str">
        <x:v>Lower is better</x:v>
      </x:c>
      <x:c r="I43" s="63" t="str">
        <x:v>$</x:v>
      </x:c>
      <x:c r="J43" s="63" t="str"/>
      <x:c r="K43" s="63" t="str"/>
      <x:c r="L43" s="63" t="str">
        <x:v>3x lifetime value to acquisition cost.</x:v>
      </x:c>
      <x:c r="M43" s="63" t="str">
        <x:v>4x lifetime value to acquisition cost.</x:v>
      </x:c>
      <x:c r="N43" s="75" t="str"/>
      <x:c r="O43" s="63" t="str"/>
      <x:c r="P43" s="63" t="str"/>
    </x:row>
    <x:row r="44">
      <x:c r="A44" s="63" t="str">
        <x:v>P04-PRI-M03</x:v>
      </x:c>
      <x:c r="B44" s="63" t="str">
        <x:v>Scale</x:v>
      </x:c>
      <x:c r="C44" s="63" t="str">
        <x:v>PRICING</x:v>
      </x:c>
      <x:c r="D44" s="63" t="str">
        <x:v>LTV:CAC</x:v>
      </x:c>
      <x:c r="E44" s="63" t="str">
        <x:v>CEO</x:v>
      </x:c>
      <x:c r="F44" s="63" t="str">
        <x:v>LTV:CAC ratio</x:v>
      </x:c>
      <x:c r="G44" s="63" t="str">
        <x:v>Weekly</x:v>
      </x:c>
      <x:c r="H44" s="63" t="str">
        <x:v>Higher is better</x:v>
      </x:c>
      <x:c r="I44" s="63" t="str"/>
      <x:c r="J44" s="63" t="str"/>
      <x:c r="K44" s="63" t="str"/>
      <x:c r="L44" s="63" t="str">
        <x:v>3x lifetime value to acquisition cost.</x:v>
      </x:c>
      <x:c r="M44" s="63" t="str">
        <x:v>4x lifetime value to acquisition cost.</x:v>
      </x:c>
      <x:c r="N44" s="75" t="str"/>
      <x:c r="O44" s="63" t="str"/>
      <x:c r="P44" s="63" t="str"/>
    </x:row>
    <x:row r="45">
      <x:c r="A45" s="63" t="str">
        <x:v>P04-PRI-M04</x:v>
      </x:c>
      <x:c r="B45" s="63" t="str">
        <x:v>Scale</x:v>
      </x:c>
      <x:c r="C45" s="63" t="str">
        <x:v>PRICING</x:v>
      </x:c>
      <x:c r="D45" s="63" t="str">
        <x:v>LTV:CAC</x:v>
      </x:c>
      <x:c r="E45" s="63" t="str">
        <x:v>CEO</x:v>
      </x:c>
      <x:c r="F45" s="63" t="str">
        <x:v>CAC payback period (months)</x:v>
      </x:c>
      <x:c r="G45" s="63" t="str">
        <x:v>Weekly</x:v>
      </x:c>
      <x:c r="H45" s="63" t="str">
        <x:v>Higher is better</x:v>
      </x:c>
      <x:c r="I45" s="63" t="str">
        <x:v>months</x:v>
      </x:c>
      <x:c r="J45" s="63" t="str"/>
      <x:c r="K45" s="63" t="str"/>
      <x:c r="L45" s="63" t="str">
        <x:v>3x lifetime value to acquisition cost.</x:v>
      </x:c>
      <x:c r="M45" s="63" t="str">
        <x:v>4x lifetime value to acquisition cost.</x:v>
      </x:c>
      <x:c r="N45" s="75" t="str"/>
      <x:c r="O45" s="63" t="str"/>
      <x:c r="P45" s="63" t="str"/>
    </x:row>
    <x:row r="46">
      <x:c r="A46" s="63" t="str">
        <x:v>P04-PRO-M01</x:v>
      </x:c>
      <x:c r="B46" s="63" t="str">
        <x:v>Scale</x:v>
      </x:c>
      <x:c r="C46" s="63" t="str">
        <x:v>PRODUCT</x:v>
      </x:c>
      <x:c r="D46" s="63" t="str">
        <x:v>Weekly active teams</x:v>
      </x:c>
      <x:c r="E46" s="63" t="str">
        <x:v>CTO</x:v>
      </x:c>
      <x:c r="F46" s="63" t="str">
        <x:v>Paying teams (#)</x:v>
      </x:c>
      <x:c r="G46" s="63" t="str">
        <x:v>Weekly</x:v>
      </x:c>
      <x:c r="H46" s="63" t="str">
        <x:v>Higher is better</x:v>
      </x:c>
      <x:c r="I46" s="63" t="str">
        <x:v>#</x:v>
      </x:c>
      <x:c r="J46" s="63" t="str"/>
      <x:c r="K46" s="63" t="str"/>
      <x:c r="L46" s="63" t="str">
        <x:v>80% of retained teams are active weekly.</x:v>
      </x:c>
      <x:c r="M46" s="63" t="str">
        <x:v>90% of retained teams are active weekly.</x:v>
      </x:c>
      <x:c r="N46" s="75" t="str"/>
      <x:c r="O46" s="63" t="str"/>
      <x:c r="P46" s="63" t="str"/>
    </x:row>
    <x:row r="47">
      <x:c r="A47" s="63" t="str">
        <x:v>P04-PRO-M02</x:v>
      </x:c>
      <x:c r="B47" s="63" t="str">
        <x:v>Scale</x:v>
      </x:c>
      <x:c r="C47" s="63" t="str">
        <x:v>PRODUCT</x:v>
      </x:c>
      <x:c r="D47" s="63" t="str">
        <x:v>Weekly active teams</x:v>
      </x:c>
      <x:c r="E47" s="63" t="str">
        <x:v>CTO</x:v>
      </x:c>
      <x:c r="F47" s="63" t="str">
        <x:v>Weekly active teams (# and %)</x:v>
      </x:c>
      <x:c r="G47" s="63" t="str">
        <x:v>Weekly</x:v>
      </x:c>
      <x:c r="H47" s="63" t="str">
        <x:v>Higher is better</x:v>
      </x:c>
      <x:c r="I47" s="63" t="str">
        <x:v># and %</x:v>
      </x:c>
      <x:c r="J47" s="63" t="str"/>
      <x:c r="K47" s="63" t="str"/>
      <x:c r="L47" s="63" t="str">
        <x:v>80% of retained teams are active weekly.</x:v>
      </x:c>
      <x:c r="M47" s="63" t="str">
        <x:v>90% of retained teams are active weekly.</x:v>
      </x:c>
      <x:c r="N47" s="75" t="str"/>
      <x:c r="O47" s="63" t="str"/>
      <x:c r="P47" s="63" t="str"/>
    </x:row>
    <x:row r="48">
      <x:c r="A48" s="63" t="str">
        <x:v>P04-PRO-M03</x:v>
      </x:c>
      <x:c r="B48" s="63" t="str">
        <x:v>Scale</x:v>
      </x:c>
      <x:c r="C48" s="63" t="str">
        <x:v>PRODUCT</x:v>
      </x:c>
      <x:c r="D48" s="63" t="str">
        <x:v>Weekly active teams</x:v>
      </x:c>
      <x:c r="E48" s="63" t="str">
        <x:v>CTO</x:v>
      </x:c>
      <x:c r="F48" s="63" t="str">
        <x:v>Meaningful workflows per team (#)</x:v>
      </x:c>
      <x:c r="G48" s="63" t="str">
        <x:v>Weekly</x:v>
      </x:c>
      <x:c r="H48" s="63" t="str">
        <x:v>Higher is better</x:v>
      </x:c>
      <x:c r="I48" s="63" t="str">
        <x:v>#</x:v>
      </x:c>
      <x:c r="J48" s="63" t="str"/>
      <x:c r="K48" s="63" t="str"/>
      <x:c r="L48" s="63" t="str">
        <x:v>80% of retained teams are active weekly.</x:v>
      </x:c>
      <x:c r="M48" s="63" t="str">
        <x:v>90% of retained teams are active weekly.</x:v>
      </x:c>
      <x:c r="N48" s="75" t="str"/>
      <x:c r="O48" s="63" t="str"/>
      <x:c r="P48" s="63" t="str"/>
    </x:row>
    <x:row r="49">
      <x:c r="A49" s="63" t="str">
        <x:v>P04-PRO-M04</x:v>
      </x:c>
      <x:c r="B49" s="63" t="str">
        <x:v>Scale</x:v>
      </x:c>
      <x:c r="C49" s="63" t="str">
        <x:v>PRODUCT</x:v>
      </x:c>
      <x:c r="D49" s="63" t="str">
        <x:v>Weekly active teams</x:v>
      </x:c>
      <x:c r="E49" s="63" t="str">
        <x:v>CTO</x:v>
      </x:c>
      <x:c r="F49" s="63" t="str">
        <x:v>Inactive or at-risk teams (#)</x:v>
      </x:c>
      <x:c r="G49" s="63" t="str">
        <x:v>Weekly</x:v>
      </x:c>
      <x:c r="H49" s="63" t="str">
        <x:v>Higher is better</x:v>
      </x:c>
      <x:c r="I49" s="63" t="str">
        <x:v>#</x:v>
      </x:c>
      <x:c r="J49" s="63" t="str"/>
      <x:c r="K49" s="63" t="str"/>
      <x:c r="L49" s="63" t="str">
        <x:v>80% of retained teams are active weekly.</x:v>
      </x:c>
      <x:c r="M49" s="63" t="str">
        <x:v>90% of retained teams are active weekly.</x:v>
      </x:c>
      <x:c r="N49" s="75" t="str"/>
      <x:c r="O49" s="63" t="str"/>
      <x:c r="P49" s="63" t="str"/>
    </x:row>
    <x:row r="50">
      <x:c r="A50" s="63" t="str">
        <x:v>P04-SUC-M01</x:v>
      </x:c>
      <x:c r="B50" s="63" t="str">
        <x:v>Scale</x:v>
      </x:c>
      <x:c r="C50" s="63" t="str">
        <x:v>SUCCESS</x:v>
      </x:c>
      <x:c r="D50" s="63" t="str">
        <x:v>Monthly logo churn</x:v>
      </x:c>
      <x:c r="E50" s="63" t="str">
        <x:v>COO</x:v>
      </x:c>
      <x:c r="F50" s="63" t="str">
        <x:v>Monthly logo churn (%)</x:v>
      </x:c>
      <x:c r="G50" s="63" t="str">
        <x:v>Weekly</x:v>
      </x:c>
      <x:c r="H50" s="63" t="str">
        <x:v>Lower is better</x:v>
      </x:c>
      <x:c r="I50" s="63" t="str">
        <x:v>%</x:v>
      </x:c>
      <x:c r="J50" s="63" t="str"/>
      <x:c r="K50" s="63" t="str"/>
      <x:c r="L50" s="63" t="str">
        <x:v>Less than 4% monthly logo churn.</x:v>
      </x:c>
      <x:c r="M50" s="63" t="str">
        <x:v>Less than 3% monthly logo churn.</x:v>
      </x:c>
      <x:c r="N50" s="75" t="str"/>
      <x:c r="O50" s="63" t="str"/>
      <x:c r="P50" s="63" t="str"/>
    </x:row>
    <x:row r="51">
      <x:c r="A51" s="63" t="str">
        <x:v>P04-SUC-M02</x:v>
      </x:c>
      <x:c r="B51" s="63" t="str">
        <x:v>Scale</x:v>
      </x:c>
      <x:c r="C51" s="63" t="str">
        <x:v>SUCCESS</x:v>
      </x:c>
      <x:c r="D51" s="63" t="str">
        <x:v>Monthly logo churn</x:v>
      </x:c>
      <x:c r="E51" s="63" t="str">
        <x:v>COO</x:v>
      </x:c>
      <x:c r="F51" s="63" t="str">
        <x:v>At-risk accounts identified (#)</x:v>
      </x:c>
      <x:c r="G51" s="63" t="str">
        <x:v>Weekly</x:v>
      </x:c>
      <x:c r="H51" s="63" t="str">
        <x:v>Higher is better</x:v>
      </x:c>
      <x:c r="I51" s="63" t="str">
        <x:v>#</x:v>
      </x:c>
      <x:c r="J51" s="63" t="str"/>
      <x:c r="K51" s="63" t="str"/>
      <x:c r="L51" s="63" t="str">
        <x:v>Less than 4% monthly logo churn.</x:v>
      </x:c>
      <x:c r="M51" s="63" t="str">
        <x:v>Less than 3% monthly logo churn.</x:v>
      </x:c>
      <x:c r="N51" s="75" t="str"/>
      <x:c r="O51" s="63" t="str"/>
      <x:c r="P51" s="63" t="str"/>
    </x:row>
    <x:row r="52">
      <x:c r="A52" s="63" t="str">
        <x:v>P04-SUC-M03</x:v>
      </x:c>
      <x:c r="B52" s="63" t="str">
        <x:v>Scale</x:v>
      </x:c>
      <x:c r="C52" s="63" t="str">
        <x:v>SUCCESS</x:v>
      </x:c>
      <x:c r="D52" s="63" t="str">
        <x:v>Monthly logo churn</x:v>
      </x:c>
      <x:c r="E52" s="63" t="str">
        <x:v>COO</x:v>
      </x:c>
      <x:c r="F52" s="63" t="str">
        <x:v>Retention interventions completed (%)</x:v>
      </x:c>
      <x:c r="G52" s="63" t="str">
        <x:v>Weekly</x:v>
      </x:c>
      <x:c r="H52" s="63" t="str">
        <x:v>Higher is better</x:v>
      </x:c>
      <x:c r="I52" s="63" t="str">
        <x:v>%</x:v>
      </x:c>
      <x:c r="J52" s="63" t="str"/>
      <x:c r="K52" s="63" t="str"/>
      <x:c r="L52" s="63" t="str">
        <x:v>Less than 4% monthly logo churn.</x:v>
      </x:c>
      <x:c r="M52" s="63" t="str">
        <x:v>Less than 3% monthly logo churn.</x:v>
      </x:c>
      <x:c r="N52" s="75" t="str"/>
      <x:c r="O52" s="63" t="str"/>
      <x:c r="P52" s="63" t="str"/>
    </x:row>
    <x:row r="53">
      <x:c r="A53" s="63" t="str">
        <x:v>P04-SUC-M04</x:v>
      </x:c>
      <x:c r="B53" s="63" t="str">
        <x:v>Scale</x:v>
      </x:c>
      <x:c r="C53" s="63" t="str">
        <x:v>SUCCESS</x:v>
      </x:c>
      <x:c r="D53" s="63" t="str">
        <x:v>Monthly logo churn</x:v>
      </x:c>
      <x:c r="E53" s="63" t="str">
        <x:v>COO</x:v>
      </x:c>
      <x:c r="F53" s="63" t="str">
        <x:v>Accounts saved after intervention (%)</x:v>
      </x:c>
      <x:c r="G53" s="63" t="str">
        <x:v>Weekly</x:v>
      </x:c>
      <x:c r="H53" s="63" t="str">
        <x:v>Higher is better</x:v>
      </x:c>
      <x:c r="I53" s="63" t="str">
        <x:v>%</x:v>
      </x:c>
      <x:c r="J53" s="63" t="str"/>
      <x:c r="K53" s="63" t="str"/>
      <x:c r="L53" s="63" t="str">
        <x:v>Less than 4% monthly logo churn.</x:v>
      </x:c>
      <x:c r="M53" s="63" t="str">
        <x:v>Less than 3% monthly logo churn.</x:v>
      </x:c>
      <x:c r="N53" s="75" t="str"/>
      <x:c r="O53" s="63" t="str"/>
      <x:c r="P53" s="63" t="str"/>
    </x:row>
    <x:row r="54">
      <x:c r="A54" s="63" t="str">
        <x:v>P05-PRI-M01</x:v>
      </x:c>
      <x:c r="B54" s="63" t="str">
        <x:v>Platform</x:v>
      </x:c>
      <x:c r="C54" s="63" t="str">
        <x:v>PRICING</x:v>
      </x:c>
      <x:c r="D54" s="63" t="str">
        <x:v>Net revenue retention</x:v>
      </x:c>
      <x:c r="E54" s="63" t="str">
        <x:v>CEO</x:v>
      </x:c>
      <x:c r="F54" s="63" t="str">
        <x:v>Net revenue retention (%)</x:v>
      </x:c>
      <x:c r="G54" s="63" t="str">
        <x:v>Weekly</x:v>
      </x:c>
      <x:c r="H54" s="63" t="str">
        <x:v>Higher is better</x:v>
      </x:c>
      <x:c r="I54" s="63" t="str">
        <x:v>%</x:v>
      </x:c>
      <x:c r="J54" s="63" t="str"/>
      <x:c r="K54" s="63" t="str"/>
      <x:c r="L54" s="63" t="str">
        <x:v>110% net revenue retention.</x:v>
      </x:c>
      <x:c r="M54" s="63" t="str">
        <x:v>120% net revenue retention.</x:v>
      </x:c>
      <x:c r="N54" s="75" t="str"/>
      <x:c r="O54" s="63" t="str"/>
      <x:c r="P54" s="63" t="str"/>
    </x:row>
    <x:row r="55">
      <x:c r="A55" s="63" t="str">
        <x:v>P05-PRI-M02</x:v>
      </x:c>
      <x:c r="B55" s="63" t="str">
        <x:v>Platform</x:v>
      </x:c>
      <x:c r="C55" s="63" t="str">
        <x:v>PRICING</x:v>
      </x:c>
      <x:c r="D55" s="63" t="str">
        <x:v>Net revenue retention</x:v>
      </x:c>
      <x:c r="E55" s="63" t="str">
        <x:v>CEO</x:v>
      </x:c>
      <x:c r="F55" s="63" t="str">
        <x:v>Expansion monthly recurring revenue ($)</x:v>
      </x:c>
      <x:c r="G55" s="63" t="str">
        <x:v>Weekly</x:v>
      </x:c>
      <x:c r="H55" s="63" t="str">
        <x:v>Higher is better</x:v>
      </x:c>
      <x:c r="I55" s="63" t="str">
        <x:v>$</x:v>
      </x:c>
      <x:c r="J55" s="63" t="str"/>
      <x:c r="K55" s="63" t="str"/>
      <x:c r="L55" s="63" t="str">
        <x:v>110% net revenue retention.</x:v>
      </x:c>
      <x:c r="M55" s="63" t="str">
        <x:v>120% net revenue retention.</x:v>
      </x:c>
      <x:c r="N55" s="75" t="str"/>
      <x:c r="O55" s="63" t="str"/>
      <x:c r="P55" s="63" t="str"/>
    </x:row>
    <x:row r="56">
      <x:c r="A56" s="63" t="str">
        <x:v>P05-PRI-M03</x:v>
      </x:c>
      <x:c r="B56" s="63" t="str">
        <x:v>Platform</x:v>
      </x:c>
      <x:c r="C56" s="63" t="str">
        <x:v>PRICING</x:v>
      </x:c>
      <x:c r="D56" s="63" t="str">
        <x:v>Net revenue retention</x:v>
      </x:c>
      <x:c r="E56" s="63" t="str">
        <x:v>CEO</x:v>
      </x:c>
      <x:c r="F56" s="63" t="str">
        <x:v>Contraction revenue ($)</x:v>
      </x:c>
      <x:c r="G56" s="63" t="str">
        <x:v>Weekly</x:v>
      </x:c>
      <x:c r="H56" s="63" t="str">
        <x:v>Higher is better</x:v>
      </x:c>
      <x:c r="I56" s="63" t="str">
        <x:v>$</x:v>
      </x:c>
      <x:c r="J56" s="63" t="str"/>
      <x:c r="K56" s="63" t="str"/>
      <x:c r="L56" s="63" t="str">
        <x:v>110% net revenue retention.</x:v>
      </x:c>
      <x:c r="M56" s="63" t="str">
        <x:v>120% net revenue retention.</x:v>
      </x:c>
      <x:c r="N56" s="75" t="str"/>
      <x:c r="O56" s="63" t="str"/>
      <x:c r="P56" s="63" t="str"/>
    </x:row>
    <x:row r="57">
      <x:c r="A57" s="63" t="str">
        <x:v>P05-PRI-M04</x:v>
      </x:c>
      <x:c r="B57" s="63" t="str">
        <x:v>Platform</x:v>
      </x:c>
      <x:c r="C57" s="63" t="str">
        <x:v>PRICING</x:v>
      </x:c>
      <x:c r="D57" s="63" t="str">
        <x:v>Net revenue retention</x:v>
      </x:c>
      <x:c r="E57" s="63" t="str">
        <x:v>CEO</x:v>
      </x:c>
      <x:c r="F57" s="63" t="str">
        <x:v>Customer revenue churn (%)</x:v>
      </x:c>
      <x:c r="G57" s="63" t="str">
        <x:v>Weekly</x:v>
      </x:c>
      <x:c r="H57" s="63" t="str">
        <x:v>Lower is better</x:v>
      </x:c>
      <x:c r="I57" s="63" t="str">
        <x:v>%</x:v>
      </x:c>
      <x:c r="J57" s="63" t="str"/>
      <x:c r="K57" s="63" t="str"/>
      <x:c r="L57" s="63" t="str">
        <x:v>110% net revenue retention.</x:v>
      </x:c>
      <x:c r="M57" s="63" t="str">
        <x:v>120% net revenue retention.</x:v>
      </x:c>
      <x:c r="N57" s="75" t="str"/>
      <x:c r="O57" s="63" t="str"/>
      <x:c r="P57" s="63" t="str"/>
    </x:row>
    <x:row r="58">
      <x:c r="A58" s="63" t="str">
        <x:v>P05-PRO-M01</x:v>
      </x:c>
      <x:c r="B58" s="63" t="str">
        <x:v>Platform</x:v>
      </x:c>
      <x:c r="C58" s="63" t="str">
        <x:v>PRODUCT</x:v>
      </x:c>
      <x:c r="D58" s="63" t="str">
        <x:v>Multi-workflow adoption</x:v>
      </x:c>
      <x:c r="E58" s="63" t="str">
        <x:v>CTO</x:v>
      </x:c>
      <x:c r="F58" s="63" t="str">
        <x:v>Teams using two or more workflows (%)</x:v>
      </x:c>
      <x:c r="G58" s="63" t="str">
        <x:v>Weekly</x:v>
      </x:c>
      <x:c r="H58" s="63" t="str">
        <x:v>Higher is better</x:v>
      </x:c>
      <x:c r="I58" s="63" t="str">
        <x:v>%</x:v>
      </x:c>
      <x:c r="J58" s="63" t="str"/>
      <x:c r="K58" s="63" t="str"/>
      <x:c r="L58" s="63" t="str">
        <x:v>50% of teams use at least two workflows.</x:v>
      </x:c>
      <x:c r="M58" s="63" t="str">
        <x:v>70% of teams use at least two workflows.</x:v>
      </x:c>
      <x:c r="N58" s="75" t="str"/>
      <x:c r="O58" s="63" t="str"/>
      <x:c r="P58" s="63" t="str"/>
    </x:row>
    <x:row r="59">
      <x:c r="A59" s="63" t="str">
        <x:v>P05-PRO-M02</x:v>
      </x:c>
      <x:c r="B59" s="63" t="str">
        <x:v>Platform</x:v>
      </x:c>
      <x:c r="C59" s="63" t="str">
        <x:v>PRODUCT</x:v>
      </x:c>
      <x:c r="D59" s="63" t="str">
        <x:v>Multi-workflow adoption</x:v>
      </x:c>
      <x:c r="E59" s="63" t="str">
        <x:v>CTO</x:v>
      </x:c>
      <x:c r="F59" s="63" t="str">
        <x:v>Workflow adoption by account (%)</x:v>
      </x:c>
      <x:c r="G59" s="63" t="str">
        <x:v>Weekly</x:v>
      </x:c>
      <x:c r="H59" s="63" t="str">
        <x:v>Higher is better</x:v>
      </x:c>
      <x:c r="I59" s="63" t="str">
        <x:v>%</x:v>
      </x:c>
      <x:c r="J59" s="63" t="str"/>
      <x:c r="K59" s="63" t="str"/>
      <x:c r="L59" s="63" t="str">
        <x:v>50% of teams use at least two workflows.</x:v>
      </x:c>
      <x:c r="M59" s="63" t="str">
        <x:v>70% of teams use at least two workflows.</x:v>
      </x:c>
      <x:c r="N59" s="75" t="str"/>
      <x:c r="O59" s="63" t="str"/>
      <x:c r="P59" s="63" t="str"/>
    </x:row>
    <x:row r="60">
      <x:c r="A60" s="63" t="str">
        <x:v>P05-PRO-M03</x:v>
      </x:c>
      <x:c r="B60" s="63" t="str">
        <x:v>Platform</x:v>
      </x:c>
      <x:c r="C60" s="63" t="str">
        <x:v>PRODUCT</x:v>
      </x:c>
      <x:c r="D60" s="63" t="str">
        <x:v>Multi-workflow adoption</x:v>
      </x:c>
      <x:c r="E60" s="63" t="str">
        <x:v>CTO</x:v>
      </x:c>
      <x:c r="F60" s="63" t="str">
        <x:v>Active workflows per team (#)</x:v>
      </x:c>
      <x:c r="G60" s="63" t="str">
        <x:v>Weekly</x:v>
      </x:c>
      <x:c r="H60" s="63" t="str">
        <x:v>Higher is better</x:v>
      </x:c>
      <x:c r="I60" s="63" t="str">
        <x:v>#</x:v>
      </x:c>
      <x:c r="J60" s="63" t="str"/>
      <x:c r="K60" s="63" t="str"/>
      <x:c r="L60" s="63" t="str">
        <x:v>50% of teams use at least two workflows.</x:v>
      </x:c>
      <x:c r="M60" s="63" t="str">
        <x:v>70% of teams use at least two workflows.</x:v>
      </x:c>
      <x:c r="N60" s="75" t="str"/>
      <x:c r="O60" s="63" t="str"/>
      <x:c r="P60" s="63" t="str"/>
    </x:row>
    <x:row r="61">
      <x:c r="A61" s="63" t="str">
        <x:v>P05-PRO-M04</x:v>
      </x:c>
      <x:c r="B61" s="63" t="str">
        <x:v>Platform</x:v>
      </x:c>
      <x:c r="C61" s="63" t="str">
        <x:v>PRODUCT</x:v>
      </x:c>
      <x:c r="D61" s="63" t="str">
        <x:v>Multi-workflow adoption</x:v>
      </x:c>
      <x:c r="E61" s="63" t="str">
        <x:v>CTO</x:v>
      </x:c>
      <x:c r="F61" s="63" t="str">
        <x:v>Integration-driven activity (%)</x:v>
      </x:c>
      <x:c r="G61" s="63" t="str">
        <x:v>Weekly</x:v>
      </x:c>
      <x:c r="H61" s="63" t="str">
        <x:v>Higher is better</x:v>
      </x:c>
      <x:c r="I61" s="63" t="str">
        <x:v>%</x:v>
      </x:c>
      <x:c r="J61" s="63" t="str"/>
      <x:c r="K61" s="63" t="str"/>
      <x:c r="L61" s="63" t="str">
        <x:v>50% of teams use at least two workflows.</x:v>
      </x:c>
      <x:c r="M61" s="63" t="str">
        <x:v>70% of teams use at least two workflows.</x:v>
      </x:c>
      <x:c r="N61" s="75" t="str"/>
      <x:c r="O61" s="63" t="str"/>
      <x:c r="P61" s="63" t="str"/>
    </x:row>
    <x:row r="62">
      <x:c r="A62" s="63" t="str">
        <x:v>P05-SUC-M01</x:v>
      </x:c>
      <x:c r="B62" s="63" t="str">
        <x:v>Platform</x:v>
      </x:c>
      <x:c r="C62" s="63" t="str">
        <x:v>SUCCESS</x:v>
      </x:c>
      <x:c r="D62" s="63" t="str">
        <x:v>Customer ROI score</x:v>
      </x:c>
      <x:c r="E62" s="63" t="str">
        <x:v>COO</x:v>
      </x:c>
      <x:c r="F62" s="63" t="str">
        <x:v>Customers confirming positive ROI (%)</x:v>
      </x:c>
      <x:c r="G62" s="63" t="str">
        <x:v>Weekly</x:v>
      </x:c>
      <x:c r="H62" s="63" t="str">
        <x:v>Higher is better</x:v>
      </x:c>
      <x:c r="I62" s="63" t="str">
        <x:v>%</x:v>
      </x:c>
      <x:c r="J62" s="63" t="str"/>
      <x:c r="K62" s="63" t="str"/>
      <x:c r="L62" s="63" t="str">
        <x:v>85 out of 100 average ROI score.</x:v>
      </x:c>
      <x:c r="M62" s="63" t="str">
        <x:v>90 out of 100 average ROI score.</x:v>
      </x:c>
      <x:c r="N62" s="75" t="str"/>
      <x:c r="O62" s="63" t="str"/>
      <x:c r="P62" s="63" t="str"/>
    </x:row>
    <x:row r="63">
      <x:c r="A63" s="63" t="str">
        <x:v>P05-SUC-M02</x:v>
      </x:c>
      <x:c r="B63" s="63" t="str">
        <x:v>Platform</x:v>
      </x:c>
      <x:c r="C63" s="63" t="str">
        <x:v>SUCCESS</x:v>
      </x:c>
      <x:c r="D63" s="63" t="str">
        <x:v>Customer ROI score</x:v>
      </x:c>
      <x:c r="E63" s="63" t="str">
        <x:v>COO</x:v>
      </x:c>
      <x:c r="F63" s="63" t="str">
        <x:v>Average customer ROI score</x:v>
      </x:c>
      <x:c r="G63" s="63" t="str">
        <x:v>Weekly</x:v>
      </x:c>
      <x:c r="H63" s="63" t="str">
        <x:v>Higher is better</x:v>
      </x:c>
      <x:c r="I63" s="63" t="str"/>
      <x:c r="J63" s="63" t="str"/>
      <x:c r="K63" s="63" t="str"/>
      <x:c r="L63" s="63" t="str">
        <x:v>85 out of 100 average ROI score.</x:v>
      </x:c>
      <x:c r="M63" s="63" t="str">
        <x:v>90 out of 100 average ROI score.</x:v>
      </x:c>
      <x:c r="N63" s="75" t="str"/>
      <x:c r="O63" s="63" t="str"/>
      <x:c r="P63" s="63" t="str"/>
    </x:row>
    <x:row r="64">
      <x:c r="A64" s="63" t="str">
        <x:v>P05-SUC-M03</x:v>
      </x:c>
      <x:c r="B64" s="63" t="str">
        <x:v>Platform</x:v>
      </x:c>
      <x:c r="C64" s="63" t="str">
        <x:v>SUCCESS</x:v>
      </x:c>
      <x:c r="D64" s="63" t="str">
        <x:v>Customer ROI score</x:v>
      </x:c>
      <x:c r="E64" s="63" t="str">
        <x:v>COO</x:v>
      </x:c>
      <x:c r="F64" s="63" t="str">
        <x:v>Estimated monthly value delivered ($)</x:v>
      </x:c>
      <x:c r="G64" s="63" t="str">
        <x:v>Weekly</x:v>
      </x:c>
      <x:c r="H64" s="63" t="str">
        <x:v>Higher is better</x:v>
      </x:c>
      <x:c r="I64" s="63" t="str">
        <x:v>$</x:v>
      </x:c>
      <x:c r="J64" s="63" t="str"/>
      <x:c r="K64" s="63" t="str"/>
      <x:c r="L64" s="63" t="str">
        <x:v>85 out of 100 average ROI score.</x:v>
      </x:c>
      <x:c r="M64" s="63" t="str">
        <x:v>90 out of 100 average ROI score.</x:v>
      </x:c>
      <x:c r="N64" s="75" t="str"/>
      <x:c r="O64" s="63" t="str"/>
      <x:c r="P64" s="63" t="str"/>
    </x:row>
    <x:row r="65">
      <x:c r="A65" s="64" t="str">
        <x:v>P05-SUC-M04</x:v>
      </x:c>
      <x:c r="B65" s="64" t="str">
        <x:v>Platform</x:v>
      </x:c>
      <x:c r="C65" s="64" t="str">
        <x:v>SUCCESS</x:v>
      </x:c>
      <x:c r="D65" s="64" t="str">
        <x:v>Customer ROI score</x:v>
      </x:c>
      <x:c r="E65" s="64" t="str">
        <x:v>COO</x:v>
      </x:c>
      <x:c r="F65" s="64" t="str">
        <x:v>ROI reviews completed on time (%)</x:v>
      </x:c>
      <x:c r="G65" s="64" t="str">
        <x:v>Weekly</x:v>
      </x:c>
      <x:c r="H65" s="64" t="str">
        <x:v>Lower is better</x:v>
      </x:c>
      <x:c r="I65" s="64" t="str">
        <x:v>%</x:v>
      </x:c>
      <x:c r="J65" s="64" t="str"/>
      <x:c r="K65" s="64" t="str"/>
      <x:c r="L65" s="64" t="str">
        <x:v>85 out of 100 average ROI score.</x:v>
      </x:c>
      <x:c r="M65" s="64" t="str">
        <x:v>90 out of 100 average ROI score.</x:v>
      </x:c>
      <x:c r="N65" s="76" t="str"/>
      <x:c r="O65" s="64" t="str"/>
      <x:c r="P65" s="64" t="str"/>
    </x:row>
  </x:sheetData>
  <x:mergeCells>
    <x:mergeCell ref="A1:P1"/>
    <x:mergeCell ref="A2:P2"/>
  </x:mergeCells>
  <x:conditionalFormatting sqref="C6:C65">
    <x:cfRule type="containsText" dxfId="17" priority="1" operator="containsText" text="PRICING"/>
    <x:cfRule type="containsText" dxfId="18" priority="2" operator="containsText" text="PRODUCT"/>
    <x:cfRule type="containsText" dxfId="19" priority="3" operator="containsText" text="SUCCESS"/>
  </x:conditionalFormatting>
  <x:dataValidations count="2">
    <x:dataValidation type="list" sqref="G6:G65">
      <x:formula1>"Daily,Weekly,Biweekly,Monthly,Quarterly"</x:formula1>
    </x:dataValidation>
    <x:dataValidation type="list" sqref="H6:H65">
      <x:formula1>"Higher is better,Lower is better,Monitor only"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70099f7a4b4d6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2" hidden="0" customWidth="1"/>
    <x:col min="4" max="4" width="38" hidden="0" customWidth="1"/>
    <x:col min="5" max="5" width="10" hidden="0" customWidth="1"/>
    <x:col min="6" max="6" width="14" hidden="0" customWidth="1"/>
    <x:col min="7" max="7" width="14" hidden="0" customWidth="1"/>
    <x:col min="8" max="8" width="14" hidden="0" customWidth="1"/>
    <x:col min="9" max="9" width="11" hidden="0" customWidth="1"/>
    <x:col min="10" max="10" width="28" hidden="0" customWidth="1"/>
    <x:col min="11" max="11" width="28" hidden="0" customWidth="1"/>
    <x:col min="12" max="12" width="12" hidden="0" customWidth="1"/>
    <x:col min="13" max="13" width="28" hidden="0" customWidth="1"/>
  </x:cols>
  <x:sheetData>
    <x:row r="1" ht="34" customHeight="1">
      <x:c r="A1" s="3" t="str">
        <x:v>Meeting Decisions &amp; Actions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2" customHeight="1">
      <x:c r="A2" s="5" t="str">
        <x:v>CAPTURE EACH DECISION OR COMMITMENT WITH ONE OWNER, MEASURE, AND DEADLINE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5" ht="30" customHeight="1">
      <x:c r="A5" s="52" t="str">
        <x:v>Meeting Date</x:v>
      </x:c>
      <x:c r="B5" s="53" t="str">
        <x:v>Meeting</x:v>
      </x:c>
      <x:c r="C5" s="53" t="str">
        <x:v>Type</x:v>
      </x:c>
      <x:c r="D5" s="53" t="str">
        <x:v>Decision / Action</x:v>
      </x:c>
      <x:c r="E5" s="53" t="str">
        <x:v>Owner</x:v>
      </x:c>
      <x:c r="F5" s="53" t="str">
        <x:v>Due Date</x:v>
      </x:c>
      <x:c r="G5" s="53" t="str">
        <x:v>Status</x:v>
      </x:c>
      <x:c r="H5" s="53" t="str">
        <x:v>Phase</x:v>
      </x:c>
      <x:c r="I5" s="53" t="str">
        <x:v>KPI Type</x:v>
      </x:c>
      <x:c r="J5" s="53" t="str">
        <x:v>Success Measure</x:v>
      </x:c>
      <x:c r="K5" s="53" t="str">
        <x:v>Evidence / Link</x:v>
      </x:c>
      <x:c r="L5" s="53" t="str">
        <x:v>Escalation</x:v>
      </x:c>
      <x:c r="M5" s="54" t="str">
        <x:v>Notes</x:v>
      </x:c>
    </x:row>
    <x:row r="6">
      <x:c r="A6" s="74" t="str"/>
      <x:c r="B6" s="62" t="str"/>
      <x:c r="C6" s="62" t="str">
        <x:v>Action</x:v>
      </x:c>
      <x:c r="D6" s="62" t="str"/>
      <x:c r="E6" s="62" t="str"/>
      <x:c r="F6" s="74" t="str"/>
      <x:c r="G6" s="62" t="str">
        <x:v>Not Started</x:v>
      </x:c>
      <x:c r="H6" s="62" t="str"/>
      <x:c r="I6" s="62" t="str"/>
      <x:c r="J6" s="62" t="str"/>
      <x:c r="K6" s="62" t="str"/>
      <x:c r="L6" s="62" t="str">
        <x:v>No</x:v>
      </x:c>
      <x:c r="M6" s="62" t="str"/>
    </x:row>
    <x:row r="7">
      <x:c r="A7" s="75" t="str"/>
      <x:c r="B7" s="63" t="str"/>
      <x:c r="C7" s="63" t="str">
        <x:v>Action</x:v>
      </x:c>
      <x:c r="D7" s="63" t="str"/>
      <x:c r="E7" s="63" t="str"/>
      <x:c r="F7" s="75" t="str"/>
      <x:c r="G7" s="63" t="str">
        <x:v>Not Started</x:v>
      </x:c>
      <x:c r="H7" s="63" t="str"/>
      <x:c r="I7" s="63" t="str"/>
      <x:c r="J7" s="63" t="str"/>
      <x:c r="K7" s="63" t="str"/>
      <x:c r="L7" s="63" t="str">
        <x:v>No</x:v>
      </x:c>
      <x:c r="M7" s="63" t="str"/>
    </x:row>
    <x:row r="8">
      <x:c r="A8" s="75" t="str"/>
      <x:c r="B8" s="63" t="str"/>
      <x:c r="C8" s="63" t="str">
        <x:v>Action</x:v>
      </x:c>
      <x:c r="D8" s="63" t="str"/>
      <x:c r="E8" s="63" t="str"/>
      <x:c r="F8" s="75" t="str"/>
      <x:c r="G8" s="63" t="str">
        <x:v>Not Started</x:v>
      </x:c>
      <x:c r="H8" s="63" t="str"/>
      <x:c r="I8" s="63" t="str"/>
      <x:c r="J8" s="63" t="str"/>
      <x:c r="K8" s="63" t="str"/>
      <x:c r="L8" s="63" t="str">
        <x:v>No</x:v>
      </x:c>
      <x:c r="M8" s="63" t="str"/>
    </x:row>
    <x:row r="9">
      <x:c r="A9" s="75" t="str"/>
      <x:c r="B9" s="63" t="str"/>
      <x:c r="C9" s="63" t="str">
        <x:v>Action</x:v>
      </x:c>
      <x:c r="D9" s="63" t="str"/>
      <x:c r="E9" s="63" t="str"/>
      <x:c r="F9" s="75" t="str"/>
      <x:c r="G9" s="63" t="str">
        <x:v>Not Started</x:v>
      </x:c>
      <x:c r="H9" s="63" t="str"/>
      <x:c r="I9" s="63" t="str"/>
      <x:c r="J9" s="63" t="str"/>
      <x:c r="K9" s="63" t="str"/>
      <x:c r="L9" s="63" t="str">
        <x:v>No</x:v>
      </x:c>
      <x:c r="M9" s="63" t="str"/>
    </x:row>
    <x:row r="10">
      <x:c r="A10" s="75" t="str"/>
      <x:c r="B10" s="63" t="str"/>
      <x:c r="C10" s="63" t="str">
        <x:v>Action</x:v>
      </x:c>
      <x:c r="D10" s="63" t="str"/>
      <x:c r="E10" s="63" t="str"/>
      <x:c r="F10" s="75" t="str"/>
      <x:c r="G10" s="63" t="str">
        <x:v>Not Started</x:v>
      </x:c>
      <x:c r="H10" s="63" t="str"/>
      <x:c r="I10" s="63" t="str"/>
      <x:c r="J10" s="63" t="str"/>
      <x:c r="K10" s="63" t="str"/>
      <x:c r="L10" s="63" t="str">
        <x:v>No</x:v>
      </x:c>
      <x:c r="M10" s="63" t="str"/>
    </x:row>
    <x:row r="11">
      <x:c r="A11" s="75" t="str"/>
      <x:c r="B11" s="63" t="str"/>
      <x:c r="C11" s="63" t="str">
        <x:v>Action</x:v>
      </x:c>
      <x:c r="D11" s="63" t="str"/>
      <x:c r="E11" s="63" t="str"/>
      <x:c r="F11" s="75" t="str"/>
      <x:c r="G11" s="63" t="str">
        <x:v>Not Started</x:v>
      </x:c>
      <x:c r="H11" s="63" t="str"/>
      <x:c r="I11" s="63" t="str"/>
      <x:c r="J11" s="63" t="str"/>
      <x:c r="K11" s="63" t="str"/>
      <x:c r="L11" s="63" t="str">
        <x:v>No</x:v>
      </x:c>
      <x:c r="M11" s="63" t="str"/>
    </x:row>
    <x:row r="12">
      <x:c r="A12" s="75" t="str"/>
      <x:c r="B12" s="63" t="str"/>
      <x:c r="C12" s="63" t="str">
        <x:v>Action</x:v>
      </x:c>
      <x:c r="D12" s="63" t="str"/>
      <x:c r="E12" s="63" t="str"/>
      <x:c r="F12" s="75" t="str"/>
      <x:c r="G12" s="63" t="str">
        <x:v>Not Started</x:v>
      </x:c>
      <x:c r="H12" s="63" t="str"/>
      <x:c r="I12" s="63" t="str"/>
      <x:c r="J12" s="63" t="str"/>
      <x:c r="K12" s="63" t="str"/>
      <x:c r="L12" s="63" t="str">
        <x:v>No</x:v>
      </x:c>
      <x:c r="M12" s="63" t="str"/>
    </x:row>
    <x:row r="13">
      <x:c r="A13" s="75" t="str"/>
      <x:c r="B13" s="63" t="str"/>
      <x:c r="C13" s="63" t="str">
        <x:v>Action</x:v>
      </x:c>
      <x:c r="D13" s="63" t="str"/>
      <x:c r="E13" s="63" t="str"/>
      <x:c r="F13" s="75" t="str"/>
      <x:c r="G13" s="63" t="str">
        <x:v>Not Started</x:v>
      </x:c>
      <x:c r="H13" s="63" t="str"/>
      <x:c r="I13" s="63" t="str"/>
      <x:c r="J13" s="63" t="str"/>
      <x:c r="K13" s="63" t="str"/>
      <x:c r="L13" s="63" t="str">
        <x:v>No</x:v>
      </x:c>
      <x:c r="M13" s="63" t="str"/>
    </x:row>
    <x:row r="14">
      <x:c r="A14" s="75" t="str"/>
      <x:c r="B14" s="63" t="str"/>
      <x:c r="C14" s="63" t="str">
        <x:v>Action</x:v>
      </x:c>
      <x:c r="D14" s="63" t="str"/>
      <x:c r="E14" s="63" t="str"/>
      <x:c r="F14" s="75" t="str"/>
      <x:c r="G14" s="63" t="str">
        <x:v>Not Started</x:v>
      </x:c>
      <x:c r="H14" s="63" t="str"/>
      <x:c r="I14" s="63" t="str"/>
      <x:c r="J14" s="63" t="str"/>
      <x:c r="K14" s="63" t="str"/>
      <x:c r="L14" s="63" t="str">
        <x:v>No</x:v>
      </x:c>
      <x:c r="M14" s="63" t="str"/>
    </x:row>
    <x:row r="15">
      <x:c r="A15" s="75" t="str"/>
      <x:c r="B15" s="63" t="str"/>
      <x:c r="C15" s="63" t="str">
        <x:v>Action</x:v>
      </x:c>
      <x:c r="D15" s="63" t="str"/>
      <x:c r="E15" s="63" t="str"/>
      <x:c r="F15" s="75" t="str"/>
      <x:c r="G15" s="63" t="str">
        <x:v>Not Started</x:v>
      </x:c>
      <x:c r="H15" s="63" t="str"/>
      <x:c r="I15" s="63" t="str"/>
      <x:c r="J15" s="63" t="str"/>
      <x:c r="K15" s="63" t="str"/>
      <x:c r="L15" s="63" t="str">
        <x:v>No</x:v>
      </x:c>
      <x:c r="M15" s="63" t="str"/>
    </x:row>
    <x:row r="16">
      <x:c r="A16" s="75" t="str"/>
      <x:c r="B16" s="63" t="str"/>
      <x:c r="C16" s="63" t="str">
        <x:v>Action</x:v>
      </x:c>
      <x:c r="D16" s="63" t="str"/>
      <x:c r="E16" s="63" t="str"/>
      <x:c r="F16" s="75" t="str"/>
      <x:c r="G16" s="63" t="str">
        <x:v>Not Started</x:v>
      </x:c>
      <x:c r="H16" s="63" t="str"/>
      <x:c r="I16" s="63" t="str"/>
      <x:c r="J16" s="63" t="str"/>
      <x:c r="K16" s="63" t="str"/>
      <x:c r="L16" s="63" t="str">
        <x:v>No</x:v>
      </x:c>
      <x:c r="M16" s="63" t="str"/>
    </x:row>
    <x:row r="17">
      <x:c r="A17" s="75" t="str"/>
      <x:c r="B17" s="63" t="str"/>
      <x:c r="C17" s="63" t="str">
        <x:v>Action</x:v>
      </x:c>
      <x:c r="D17" s="63" t="str"/>
      <x:c r="E17" s="63" t="str"/>
      <x:c r="F17" s="75" t="str"/>
      <x:c r="G17" s="63" t="str">
        <x:v>Not Started</x:v>
      </x:c>
      <x:c r="H17" s="63" t="str"/>
      <x:c r="I17" s="63" t="str"/>
      <x:c r="J17" s="63" t="str"/>
      <x:c r="K17" s="63" t="str"/>
      <x:c r="L17" s="63" t="str">
        <x:v>No</x:v>
      </x:c>
      <x:c r="M17" s="63" t="str"/>
    </x:row>
    <x:row r="18">
      <x:c r="A18" s="75" t="str"/>
      <x:c r="B18" s="63" t="str"/>
      <x:c r="C18" s="63" t="str">
        <x:v>Action</x:v>
      </x:c>
      <x:c r="D18" s="63" t="str"/>
      <x:c r="E18" s="63" t="str"/>
      <x:c r="F18" s="75" t="str"/>
      <x:c r="G18" s="63" t="str">
        <x:v>Not Started</x:v>
      </x:c>
      <x:c r="H18" s="63" t="str"/>
      <x:c r="I18" s="63" t="str"/>
      <x:c r="J18" s="63" t="str"/>
      <x:c r="K18" s="63" t="str"/>
      <x:c r="L18" s="63" t="str">
        <x:v>No</x:v>
      </x:c>
      <x:c r="M18" s="63" t="str"/>
    </x:row>
    <x:row r="19">
      <x:c r="A19" s="75" t="str"/>
      <x:c r="B19" s="63" t="str"/>
      <x:c r="C19" s="63" t="str">
        <x:v>Action</x:v>
      </x:c>
      <x:c r="D19" s="63" t="str"/>
      <x:c r="E19" s="63" t="str"/>
      <x:c r="F19" s="75" t="str"/>
      <x:c r="G19" s="63" t="str">
        <x:v>Not Started</x:v>
      </x:c>
      <x:c r="H19" s="63" t="str"/>
      <x:c r="I19" s="63" t="str"/>
      <x:c r="J19" s="63" t="str"/>
      <x:c r="K19" s="63" t="str"/>
      <x:c r="L19" s="63" t="str">
        <x:v>No</x:v>
      </x:c>
      <x:c r="M19" s="63" t="str"/>
    </x:row>
    <x:row r="20">
      <x:c r="A20" s="75" t="str"/>
      <x:c r="B20" s="63" t="str"/>
      <x:c r="C20" s="63" t="str">
        <x:v>Action</x:v>
      </x:c>
      <x:c r="D20" s="63" t="str"/>
      <x:c r="E20" s="63" t="str"/>
      <x:c r="F20" s="75" t="str"/>
      <x:c r="G20" s="63" t="str">
        <x:v>Not Started</x:v>
      </x:c>
      <x:c r="H20" s="63" t="str"/>
      <x:c r="I20" s="63" t="str"/>
      <x:c r="J20" s="63" t="str"/>
      <x:c r="K20" s="63" t="str"/>
      <x:c r="L20" s="63" t="str">
        <x:v>No</x:v>
      </x:c>
      <x:c r="M20" s="63" t="str"/>
    </x:row>
    <x:row r="21">
      <x:c r="A21" s="75" t="str"/>
      <x:c r="B21" s="63" t="str"/>
      <x:c r="C21" s="63" t="str">
        <x:v>Action</x:v>
      </x:c>
      <x:c r="D21" s="63" t="str"/>
      <x:c r="E21" s="63" t="str"/>
      <x:c r="F21" s="75" t="str"/>
      <x:c r="G21" s="63" t="str">
        <x:v>Not Started</x:v>
      </x:c>
      <x:c r="H21" s="63" t="str"/>
      <x:c r="I21" s="63" t="str"/>
      <x:c r="J21" s="63" t="str"/>
      <x:c r="K21" s="63" t="str"/>
      <x:c r="L21" s="63" t="str">
        <x:v>No</x:v>
      </x:c>
      <x:c r="M21" s="63" t="str"/>
    </x:row>
    <x:row r="22">
      <x:c r="A22" s="75" t="str"/>
      <x:c r="B22" s="63" t="str"/>
      <x:c r="C22" s="63" t="str">
        <x:v>Action</x:v>
      </x:c>
      <x:c r="D22" s="63" t="str"/>
      <x:c r="E22" s="63" t="str"/>
      <x:c r="F22" s="75" t="str"/>
      <x:c r="G22" s="63" t="str">
        <x:v>Not Started</x:v>
      </x:c>
      <x:c r="H22" s="63" t="str"/>
      <x:c r="I22" s="63" t="str"/>
      <x:c r="J22" s="63" t="str"/>
      <x:c r="K22" s="63" t="str"/>
      <x:c r="L22" s="63" t="str">
        <x:v>No</x:v>
      </x:c>
      <x:c r="M22" s="63" t="str"/>
    </x:row>
    <x:row r="23">
      <x:c r="A23" s="75" t="str"/>
      <x:c r="B23" s="63" t="str"/>
      <x:c r="C23" s="63" t="str">
        <x:v>Action</x:v>
      </x:c>
      <x:c r="D23" s="63" t="str"/>
      <x:c r="E23" s="63" t="str"/>
      <x:c r="F23" s="75" t="str"/>
      <x:c r="G23" s="63" t="str">
        <x:v>Not Started</x:v>
      </x:c>
      <x:c r="H23" s="63" t="str"/>
      <x:c r="I23" s="63" t="str"/>
      <x:c r="J23" s="63" t="str"/>
      <x:c r="K23" s="63" t="str"/>
      <x:c r="L23" s="63" t="str">
        <x:v>No</x:v>
      </x:c>
      <x:c r="M23" s="63" t="str"/>
    </x:row>
    <x:row r="24">
      <x:c r="A24" s="75" t="str"/>
      <x:c r="B24" s="63" t="str"/>
      <x:c r="C24" s="63" t="str">
        <x:v>Action</x:v>
      </x:c>
      <x:c r="D24" s="63" t="str"/>
      <x:c r="E24" s="63" t="str"/>
      <x:c r="F24" s="75" t="str"/>
      <x:c r="G24" s="63" t="str">
        <x:v>Not Started</x:v>
      </x:c>
      <x:c r="H24" s="63" t="str"/>
      <x:c r="I24" s="63" t="str"/>
      <x:c r="J24" s="63" t="str"/>
      <x:c r="K24" s="63" t="str"/>
      <x:c r="L24" s="63" t="str">
        <x:v>No</x:v>
      </x:c>
      <x:c r="M24" s="63" t="str"/>
    </x:row>
    <x:row r="25">
      <x:c r="A25" s="75" t="str"/>
      <x:c r="B25" s="63" t="str"/>
      <x:c r="C25" s="63" t="str">
        <x:v>Action</x:v>
      </x:c>
      <x:c r="D25" s="63" t="str"/>
      <x:c r="E25" s="63" t="str"/>
      <x:c r="F25" s="75" t="str"/>
      <x:c r="G25" s="63" t="str">
        <x:v>Not Started</x:v>
      </x:c>
      <x:c r="H25" s="63" t="str"/>
      <x:c r="I25" s="63" t="str"/>
      <x:c r="J25" s="63" t="str"/>
      <x:c r="K25" s="63" t="str"/>
      <x:c r="L25" s="63" t="str">
        <x:v>No</x:v>
      </x:c>
      <x:c r="M25" s="63" t="str"/>
    </x:row>
    <x:row r="26">
      <x:c r="A26" s="75" t="str"/>
      <x:c r="B26" s="63" t="str"/>
      <x:c r="C26" s="63" t="str">
        <x:v>Action</x:v>
      </x:c>
      <x:c r="D26" s="63" t="str"/>
      <x:c r="E26" s="63" t="str"/>
      <x:c r="F26" s="75" t="str"/>
      <x:c r="G26" s="63" t="str">
        <x:v>Not Started</x:v>
      </x:c>
      <x:c r="H26" s="63" t="str"/>
      <x:c r="I26" s="63" t="str"/>
      <x:c r="J26" s="63" t="str"/>
      <x:c r="K26" s="63" t="str"/>
      <x:c r="L26" s="63" t="str">
        <x:v>No</x:v>
      </x:c>
      <x:c r="M26" s="63" t="str"/>
    </x:row>
    <x:row r="27">
      <x:c r="A27" s="75" t="str"/>
      <x:c r="B27" s="63" t="str"/>
      <x:c r="C27" s="63" t="str">
        <x:v>Action</x:v>
      </x:c>
      <x:c r="D27" s="63" t="str"/>
      <x:c r="E27" s="63" t="str"/>
      <x:c r="F27" s="75" t="str"/>
      <x:c r="G27" s="63" t="str">
        <x:v>Not Started</x:v>
      </x:c>
      <x:c r="H27" s="63" t="str"/>
      <x:c r="I27" s="63" t="str"/>
      <x:c r="J27" s="63" t="str"/>
      <x:c r="K27" s="63" t="str"/>
      <x:c r="L27" s="63" t="str">
        <x:v>No</x:v>
      </x:c>
      <x:c r="M27" s="63" t="str"/>
    </x:row>
    <x:row r="28">
      <x:c r="A28" s="75" t="str"/>
      <x:c r="B28" s="63" t="str"/>
      <x:c r="C28" s="63" t="str">
        <x:v>Action</x:v>
      </x:c>
      <x:c r="D28" s="63" t="str"/>
      <x:c r="E28" s="63" t="str"/>
      <x:c r="F28" s="75" t="str"/>
      <x:c r="G28" s="63" t="str">
        <x:v>Not Started</x:v>
      </x:c>
      <x:c r="H28" s="63" t="str"/>
      <x:c r="I28" s="63" t="str"/>
      <x:c r="J28" s="63" t="str"/>
      <x:c r="K28" s="63" t="str"/>
      <x:c r="L28" s="63" t="str">
        <x:v>No</x:v>
      </x:c>
      <x:c r="M28" s="63" t="str"/>
    </x:row>
    <x:row r="29">
      <x:c r="A29" s="75" t="str"/>
      <x:c r="B29" s="63" t="str"/>
      <x:c r="C29" s="63" t="str">
        <x:v>Action</x:v>
      </x:c>
      <x:c r="D29" s="63" t="str"/>
      <x:c r="E29" s="63" t="str"/>
      <x:c r="F29" s="75" t="str"/>
      <x:c r="G29" s="63" t="str">
        <x:v>Not Started</x:v>
      </x:c>
      <x:c r="H29" s="63" t="str"/>
      <x:c r="I29" s="63" t="str"/>
      <x:c r="J29" s="63" t="str"/>
      <x:c r="K29" s="63" t="str"/>
      <x:c r="L29" s="63" t="str">
        <x:v>No</x:v>
      </x:c>
      <x:c r="M29" s="63" t="str"/>
    </x:row>
    <x:row r="30">
      <x:c r="A30" s="75" t="str"/>
      <x:c r="B30" s="63" t="str"/>
      <x:c r="C30" s="63" t="str">
        <x:v>Action</x:v>
      </x:c>
      <x:c r="D30" s="63" t="str"/>
      <x:c r="E30" s="63" t="str"/>
      <x:c r="F30" s="75" t="str"/>
      <x:c r="G30" s="63" t="str">
        <x:v>Not Started</x:v>
      </x:c>
      <x:c r="H30" s="63" t="str"/>
      <x:c r="I30" s="63" t="str"/>
      <x:c r="J30" s="63" t="str"/>
      <x:c r="K30" s="63" t="str"/>
      <x:c r="L30" s="63" t="str">
        <x:v>No</x:v>
      </x:c>
      <x:c r="M30" s="63" t="str"/>
    </x:row>
    <x:row r="31">
      <x:c r="A31" s="75" t="str"/>
      <x:c r="B31" s="63" t="str"/>
      <x:c r="C31" s="63" t="str">
        <x:v>Action</x:v>
      </x:c>
      <x:c r="D31" s="63" t="str"/>
      <x:c r="E31" s="63" t="str"/>
      <x:c r="F31" s="75" t="str"/>
      <x:c r="G31" s="63" t="str">
        <x:v>Not Started</x:v>
      </x:c>
      <x:c r="H31" s="63" t="str"/>
      <x:c r="I31" s="63" t="str"/>
      <x:c r="J31" s="63" t="str"/>
      <x:c r="K31" s="63" t="str"/>
      <x:c r="L31" s="63" t="str">
        <x:v>No</x:v>
      </x:c>
      <x:c r="M31" s="63" t="str"/>
    </x:row>
    <x:row r="32">
      <x:c r="A32" s="75" t="str"/>
      <x:c r="B32" s="63" t="str"/>
      <x:c r="C32" s="63" t="str">
        <x:v>Action</x:v>
      </x:c>
      <x:c r="D32" s="63" t="str"/>
      <x:c r="E32" s="63" t="str"/>
      <x:c r="F32" s="75" t="str"/>
      <x:c r="G32" s="63" t="str">
        <x:v>Not Started</x:v>
      </x:c>
      <x:c r="H32" s="63" t="str"/>
      <x:c r="I32" s="63" t="str"/>
      <x:c r="J32" s="63" t="str"/>
      <x:c r="K32" s="63" t="str"/>
      <x:c r="L32" s="63" t="str">
        <x:v>No</x:v>
      </x:c>
      <x:c r="M32" s="63" t="str"/>
    </x:row>
    <x:row r="33">
      <x:c r="A33" s="75" t="str"/>
      <x:c r="B33" s="63" t="str"/>
      <x:c r="C33" s="63" t="str">
        <x:v>Action</x:v>
      </x:c>
      <x:c r="D33" s="63" t="str"/>
      <x:c r="E33" s="63" t="str"/>
      <x:c r="F33" s="75" t="str"/>
      <x:c r="G33" s="63" t="str">
        <x:v>Not Started</x:v>
      </x:c>
      <x:c r="H33" s="63" t="str"/>
      <x:c r="I33" s="63" t="str"/>
      <x:c r="J33" s="63" t="str"/>
      <x:c r="K33" s="63" t="str"/>
      <x:c r="L33" s="63" t="str">
        <x:v>No</x:v>
      </x:c>
      <x:c r="M33" s="63" t="str"/>
    </x:row>
    <x:row r="34">
      <x:c r="A34" s="75" t="str"/>
      <x:c r="B34" s="63" t="str"/>
      <x:c r="C34" s="63" t="str">
        <x:v>Action</x:v>
      </x:c>
      <x:c r="D34" s="63" t="str"/>
      <x:c r="E34" s="63" t="str"/>
      <x:c r="F34" s="75" t="str"/>
      <x:c r="G34" s="63" t="str">
        <x:v>Not Started</x:v>
      </x:c>
      <x:c r="H34" s="63" t="str"/>
      <x:c r="I34" s="63" t="str"/>
      <x:c r="J34" s="63" t="str"/>
      <x:c r="K34" s="63" t="str"/>
      <x:c r="L34" s="63" t="str">
        <x:v>No</x:v>
      </x:c>
      <x:c r="M34" s="63" t="str"/>
    </x:row>
    <x:row r="35">
      <x:c r="A35" s="75" t="str"/>
      <x:c r="B35" s="63" t="str"/>
      <x:c r="C35" s="63" t="str">
        <x:v>Action</x:v>
      </x:c>
      <x:c r="D35" s="63" t="str"/>
      <x:c r="E35" s="63" t="str"/>
      <x:c r="F35" s="75" t="str"/>
      <x:c r="G35" s="63" t="str">
        <x:v>Not Started</x:v>
      </x:c>
      <x:c r="H35" s="63" t="str"/>
      <x:c r="I35" s="63" t="str"/>
      <x:c r="J35" s="63" t="str"/>
      <x:c r="K35" s="63" t="str"/>
      <x:c r="L35" s="63" t="str">
        <x:v>No</x:v>
      </x:c>
      <x:c r="M35" s="63" t="str"/>
    </x:row>
    <x:row r="36">
      <x:c r="A36" s="75" t="str"/>
      <x:c r="B36" s="63" t="str"/>
      <x:c r="C36" s="63" t="str">
        <x:v>Action</x:v>
      </x:c>
      <x:c r="D36" s="63" t="str"/>
      <x:c r="E36" s="63" t="str"/>
      <x:c r="F36" s="75" t="str"/>
      <x:c r="G36" s="63" t="str">
        <x:v>Not Started</x:v>
      </x:c>
      <x:c r="H36" s="63" t="str"/>
      <x:c r="I36" s="63" t="str"/>
      <x:c r="J36" s="63" t="str"/>
      <x:c r="K36" s="63" t="str"/>
      <x:c r="L36" s="63" t="str">
        <x:v>No</x:v>
      </x:c>
      <x:c r="M36" s="63" t="str"/>
    </x:row>
    <x:row r="37">
      <x:c r="A37" s="75" t="str"/>
      <x:c r="B37" s="63" t="str"/>
      <x:c r="C37" s="63" t="str">
        <x:v>Action</x:v>
      </x:c>
      <x:c r="D37" s="63" t="str"/>
      <x:c r="E37" s="63" t="str"/>
      <x:c r="F37" s="75" t="str"/>
      <x:c r="G37" s="63" t="str">
        <x:v>Not Started</x:v>
      </x:c>
      <x:c r="H37" s="63" t="str"/>
      <x:c r="I37" s="63" t="str"/>
      <x:c r="J37" s="63" t="str"/>
      <x:c r="K37" s="63" t="str"/>
      <x:c r="L37" s="63" t="str">
        <x:v>No</x:v>
      </x:c>
      <x:c r="M37" s="63" t="str"/>
    </x:row>
    <x:row r="38">
      <x:c r="A38" s="75" t="str"/>
      <x:c r="B38" s="63" t="str"/>
      <x:c r="C38" s="63" t="str">
        <x:v>Action</x:v>
      </x:c>
      <x:c r="D38" s="63" t="str"/>
      <x:c r="E38" s="63" t="str"/>
      <x:c r="F38" s="75" t="str"/>
      <x:c r="G38" s="63" t="str">
        <x:v>Not Started</x:v>
      </x:c>
      <x:c r="H38" s="63" t="str"/>
      <x:c r="I38" s="63" t="str"/>
      <x:c r="J38" s="63" t="str"/>
      <x:c r="K38" s="63" t="str"/>
      <x:c r="L38" s="63" t="str">
        <x:v>No</x:v>
      </x:c>
      <x:c r="M38" s="63" t="str"/>
    </x:row>
    <x:row r="39">
      <x:c r="A39" s="75" t="str"/>
      <x:c r="B39" s="63" t="str"/>
      <x:c r="C39" s="63" t="str">
        <x:v>Action</x:v>
      </x:c>
      <x:c r="D39" s="63" t="str"/>
      <x:c r="E39" s="63" t="str"/>
      <x:c r="F39" s="75" t="str"/>
      <x:c r="G39" s="63" t="str">
        <x:v>Not Started</x:v>
      </x:c>
      <x:c r="H39" s="63" t="str"/>
      <x:c r="I39" s="63" t="str"/>
      <x:c r="J39" s="63" t="str"/>
      <x:c r="K39" s="63" t="str"/>
      <x:c r="L39" s="63" t="str">
        <x:v>No</x:v>
      </x:c>
      <x:c r="M39" s="63" t="str"/>
    </x:row>
    <x:row r="40">
      <x:c r="A40" s="75" t="str"/>
      <x:c r="B40" s="63" t="str"/>
      <x:c r="C40" s="63" t="str">
        <x:v>Action</x:v>
      </x:c>
      <x:c r="D40" s="63" t="str"/>
      <x:c r="E40" s="63" t="str"/>
      <x:c r="F40" s="75" t="str"/>
      <x:c r="G40" s="63" t="str">
        <x:v>Not Started</x:v>
      </x:c>
      <x:c r="H40" s="63" t="str"/>
      <x:c r="I40" s="63" t="str"/>
      <x:c r="J40" s="63" t="str"/>
      <x:c r="K40" s="63" t="str"/>
      <x:c r="L40" s="63" t="str">
        <x:v>No</x:v>
      </x:c>
      <x:c r="M40" s="63" t="str"/>
    </x:row>
    <x:row r="41">
      <x:c r="A41" s="75" t="str"/>
      <x:c r="B41" s="63" t="str"/>
      <x:c r="C41" s="63" t="str">
        <x:v>Action</x:v>
      </x:c>
      <x:c r="D41" s="63" t="str"/>
      <x:c r="E41" s="63" t="str"/>
      <x:c r="F41" s="75" t="str"/>
      <x:c r="G41" s="63" t="str">
        <x:v>Not Started</x:v>
      </x:c>
      <x:c r="H41" s="63" t="str"/>
      <x:c r="I41" s="63" t="str"/>
      <x:c r="J41" s="63" t="str"/>
      <x:c r="K41" s="63" t="str"/>
      <x:c r="L41" s="63" t="str">
        <x:v>No</x:v>
      </x:c>
      <x:c r="M41" s="63" t="str"/>
    </x:row>
    <x:row r="42">
      <x:c r="A42" s="75" t="str"/>
      <x:c r="B42" s="63" t="str"/>
      <x:c r="C42" s="63" t="str">
        <x:v>Action</x:v>
      </x:c>
      <x:c r="D42" s="63" t="str"/>
      <x:c r="E42" s="63" t="str"/>
      <x:c r="F42" s="75" t="str"/>
      <x:c r="G42" s="63" t="str">
        <x:v>Not Started</x:v>
      </x:c>
      <x:c r="H42" s="63" t="str"/>
      <x:c r="I42" s="63" t="str"/>
      <x:c r="J42" s="63" t="str"/>
      <x:c r="K42" s="63" t="str"/>
      <x:c r="L42" s="63" t="str">
        <x:v>No</x:v>
      </x:c>
      <x:c r="M42" s="63" t="str"/>
    </x:row>
    <x:row r="43">
      <x:c r="A43" s="75" t="str"/>
      <x:c r="B43" s="63" t="str"/>
      <x:c r="C43" s="63" t="str">
        <x:v>Action</x:v>
      </x:c>
      <x:c r="D43" s="63" t="str"/>
      <x:c r="E43" s="63" t="str"/>
      <x:c r="F43" s="75" t="str"/>
      <x:c r="G43" s="63" t="str">
        <x:v>Not Started</x:v>
      </x:c>
      <x:c r="H43" s="63" t="str"/>
      <x:c r="I43" s="63" t="str"/>
      <x:c r="J43" s="63" t="str"/>
      <x:c r="K43" s="63" t="str"/>
      <x:c r="L43" s="63" t="str">
        <x:v>No</x:v>
      </x:c>
      <x:c r="M43" s="63" t="str"/>
    </x:row>
    <x:row r="44">
      <x:c r="A44" s="75" t="str"/>
      <x:c r="B44" s="63" t="str"/>
      <x:c r="C44" s="63" t="str">
        <x:v>Action</x:v>
      </x:c>
      <x:c r="D44" s="63" t="str"/>
      <x:c r="E44" s="63" t="str"/>
      <x:c r="F44" s="75" t="str"/>
      <x:c r="G44" s="63" t="str">
        <x:v>Not Started</x:v>
      </x:c>
      <x:c r="H44" s="63" t="str"/>
      <x:c r="I44" s="63" t="str"/>
      <x:c r="J44" s="63" t="str"/>
      <x:c r="K44" s="63" t="str"/>
      <x:c r="L44" s="63" t="str">
        <x:v>No</x:v>
      </x:c>
      <x:c r="M44" s="63" t="str"/>
    </x:row>
    <x:row r="45">
      <x:c r="A45" s="76" t="str"/>
      <x:c r="B45" s="64" t="str"/>
      <x:c r="C45" s="64" t="str">
        <x:v>Action</x:v>
      </x:c>
      <x:c r="D45" s="64" t="str"/>
      <x:c r="E45" s="64" t="str"/>
      <x:c r="F45" s="76" t="str"/>
      <x:c r="G45" s="64" t="str">
        <x:v>Not Started</x:v>
      </x:c>
      <x:c r="H45" s="64" t="str"/>
      <x:c r="I45" s="64" t="str"/>
      <x:c r="J45" s="64" t="str"/>
      <x:c r="K45" s="64" t="str"/>
      <x:c r="L45" s="64" t="str">
        <x:v>No</x:v>
      </x:c>
      <x:c r="M45" s="64" t="str"/>
    </x:row>
  </x:sheetData>
  <x:mergeCells>
    <x:mergeCell ref="A1:M1"/>
    <x:mergeCell ref="A2:M2"/>
  </x:mergeCells>
  <x:conditionalFormatting sqref="G6:G45">
    <x:cfRule type="containsText" dxfId="20" priority="1" operator="containsText" text="Completed"/>
    <x:cfRule type="containsText" dxfId="21" priority="2" operator="containsText" text="In Progress"/>
    <x:cfRule type="containsText" dxfId="22" priority="3" operator="containsText" text="Blocked"/>
  </x:conditionalFormatting>
  <x:conditionalFormatting sqref="I6:I45">
    <x:cfRule type="containsText" dxfId="23" priority="4" operator="containsText" text="PRICING"/>
    <x:cfRule type="containsText" dxfId="24" priority="5" operator="containsText" text="PRODUCT"/>
    <x:cfRule type="containsText" dxfId="25" priority="6" operator="containsText" text="SUCCESS"/>
  </x:conditionalFormatting>
  <x:conditionalFormatting sqref="L6:L45">
    <x:cfRule type="containsText" dxfId="26" priority="7" operator="containsText" text="Yes"/>
  </x:conditionalFormatting>
  <x:dataValidations count="7">
    <x:dataValidation type="list" sqref="B6:B45">
      <x:formula1>"Executive Operating Review,Product + Customer Checkpoint,KPI + Commitments Review"</x:formula1>
    </x:dataValidation>
    <x:dataValidation type="list" sqref="C6:C45">
      <x:formula1>"Decision,Action,Risk,Learning"</x:formula1>
    </x:dataValidation>
    <x:dataValidation type="list" sqref="E6:E45">
      <x:formula1>"CEO,COO,CTO"</x:formula1>
    </x:dataValidation>
    <x:dataValidation type="list" sqref="G6:G45">
      <x:formula1>"Not Started,In Progress,Blocked,Completed"</x:formula1>
    </x:dataValidation>
    <x:dataValidation type="list" sqref="H6:H45">
      <x:formula1>"Foundation,Validation,Inflection,Scale,Platform"</x:formula1>
    </x:dataValidation>
    <x:dataValidation type="list" sqref="I6:I45">
      <x:formula1>"PRICING,PRODUCT,SUCCESS"</x:formula1>
    </x:dataValidation>
    <x:dataValidation type="list" sqref="L6:L45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4307f9e73f4a0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14" hidden="0" customWidth="1"/>
    <x:col min="4" max="4" width="10" hidden="0" customWidth="1"/>
    <x:col min="5" max="5" width="42" hidden="0" customWidth="1"/>
    <x:col min="6" max="6" width="48" hidden="0" customWidth="1"/>
    <x:col min="7" max="7" width="34" hidden="0" customWidth="1"/>
    <x:col min="8" max="8" width="42" hidden="0" customWidth="1"/>
  </x:cols>
  <x:sheetData>
    <x:row r="1" ht="34" customHeight="1">
      <x:c r="A1" s="3" t="str">
        <x:v>Executive Meeting Cadence</x:v>
      </x:c>
      <x:c r="B1" s="3"/>
      <x:c r="C1" s="3"/>
      <x:c r="D1" s="3"/>
      <x:c r="E1" s="3"/>
      <x:c r="F1" s="3"/>
      <x:c r="G1" s="3"/>
      <x:c r="H1" s="3"/>
    </x:row>
    <x:row r="2" ht="22" customHeight="1">
      <x:c r="A2" s="5" t="str">
        <x:v>THREE FOCUSED MEETINGS  |  2 HOURS 30 MINUTES PER WEEK  |  PREPARE, DECIDE, FOLLOW THROUGH</x:v>
      </x:c>
      <x:c r="B2" s="5"/>
      <x:c r="C2" s="5"/>
      <x:c r="D2" s="5"/>
      <x:c r="E2" s="5"/>
      <x:c r="F2" s="5"/>
      <x:c r="G2" s="5"/>
      <x:c r="H2" s="5"/>
    </x:row>
    <x:row r="5" ht="30" customHeight="1">
      <x:c r="A5" s="52" t="str">
        <x:v>Day</x:v>
      </x:c>
      <x:c r="B5" s="53" t="str">
        <x:v>Meeting</x:v>
      </x:c>
      <x:c r="C5" s="53" t="str">
        <x:v>Duration</x:v>
      </x:c>
      <x:c r="D5" s="53" t="str">
        <x:v>Lead</x:v>
      </x:c>
      <x:c r="E5" s="53" t="str">
        <x:v>Purpose</x:v>
      </x:c>
      <x:c r="F5" s="53" t="str">
        <x:v>Timeboxed Flow</x:v>
      </x:c>
      <x:c r="G5" s="53" t="str">
        <x:v>Required Outputs</x:v>
      </x:c>
      <x:c r="H5" s="54" t="str">
        <x:v>Owner Scope</x:v>
      </x:c>
    </x:row>
    <x:row r="6" ht="98" customHeight="1">
      <x:c r="A6" s="62" t="str">
        <x:v>MONDAY</x:v>
      </x:c>
      <x:c r="B6" s="62" t="str">
        <x:v>Executive Operating Review</x:v>
      </x:c>
      <x:c r="C6" s="62" t="str">
        <x:v>60 MINUTES</x:v>
      </x:c>
      <x:c r="D6" s="62" t="str">
        <x:v>CEO</x:v>
      </x:c>
      <x:c r="E6" s="62" t="str">
        <x:v>Set the company priority, inspect the active phase gate, and resolve cross-functional decisions.</x:v>
      </x:c>
      <x:c r="F6" s="62" t="str">
        <x:v>00-05  Restate the phase objective and weekly outcome.
05-20  Review KPI movement, gate risk, and exceptions.
20-40  Decide the two or three issues blocking progress.
40-55  Assign commitments with owner, metric, and date.
55-60  Read back decisions and deprioritized work.</x:v>
      </x:c>
      <x:c r="G6" s="62" t="str">
        <x:v>One weekly priority
Decision log
Named commitments
Recorded escalations</x:v>
      </x:c>
      <x:c r="H6" s="62" t="str">
        <x:v>Pricing, market selection, revenue, partnerships, capital, and final phase-priority decisions.</x:v>
      </x:c>
    </x:row>
    <x:row r="7" ht="98" customHeight="1">
      <x:c r="A7" s="63" t="str">
        <x:v>WEDNESDAY</x:v>
      </x:c>
      <x:c r="B7" s="63" t="str">
        <x:v>Product + Customer Checkpoint</x:v>
      </x:c>
      <x:c r="C7" s="63" t="str">
        <x:v>45 MINUTES</x:v>
      </x:c>
      <x:c r="D7" s="63" t="str">
        <x:v>CTO</x:v>
      </x:c>
      <x:c r="E7" s="63" t="str">
        <x:v>Turn live customer evidence into product decisions before quality, privacy, or delivery risks compound.</x:v>
      </x:c>
      <x:c r="F7" s="63" t="str">
        <x:v>00-10  Review incidents, quality, and delivery confidence.
10-20  Review the highest-value customer signal.
20-35  Decide fixes, experiments, and scope changes.
35-45  Confirm owners, measures, and communication.</x:v>
      </x:c>
      <x:c r="G7" s="63" t="str">
        <x:v>Ranked interventions
Acceptance criteria
Customer communication
Escalation list</x:v>
      </x:c>
      <x:c r="H7" s="63" t="str">
        <x:v>Product quality, architecture, delivery, reliability, and safety and privacy risk.</x:v>
      </x:c>
    </x:row>
    <x:row r="8" ht="98" customHeight="1">
      <x:c r="A8" s="64" t="str">
        <x:v>FRIDAY</x:v>
      </x:c>
      <x:c r="B8" s="64" t="str">
        <x:v>KPI + Commitments Review</x:v>
      </x:c>
      <x:c r="C8" s="64" t="str">
        <x:v>45 MINUTES</x:v>
      </x:c>
      <x:c r="D8" s="64" t="str">
        <x:v>COO</x:v>
      </x:c>
      <x:c r="E8" s="64" t="str">
        <x:v>Close the week with verified results, completed task reports, captured learning, and a clean Monday agenda.</x:v>
      </x:c>
      <x:c r="F8" s="64" t="str">
        <x:v>00-15  Score commitments complete, incomplete, or invalid.
15-25  Compare active KPIs with gate and goal.
25-35  Capture evidence and changed assumptions.
35-45  Accept carryovers and draft Monday decisions.</x:v>
      </x:c>
      <x:c r="G8" s="64" t="str">
        <x:v>Current dashboard
Evidenced work
Accepted carryovers
Monday decision agenda</x:v>
      </x:c>
      <x:c r="H8" s="64" t="str">
        <x:v>Scorecard, customer success, onboarding, action tracking, and meeting follow-through.</x:v>
      </x:c>
    </x:row>
    <x:row r="11" ht="30" customHeight="1">
      <x:c r="A11" s="52" t="str">
        <x:v>Stage</x:v>
      </x:c>
      <x:c r="B11" s="53" t="str">
        <x:v>Timing</x:v>
      </x:c>
      <x:c r="C11" s="53" t="str">
        <x:v>Coordinator / Lead</x:v>
      </x:c>
      <x:c r="D11" s="53" t="str">
        <x:v>Required Practice</x:v>
      </x:c>
      <x:c r="E11" s="53"/>
      <x:c r="F11" s="53"/>
      <x:c r="G11" s="53"/>
      <x:c r="H11" s="54"/>
    </x:row>
    <x:row r="12" ht="72" customHeight="1">
      <x:c r="A12" s="62" t="str">
        <x:v>BEFORE</x:v>
      </x:c>
      <x:c r="B12" s="62" t="str">
        <x:v>24 HOURS BEFORE</x:v>
      </x:c>
      <x:c r="C12" s="62" t="str">
        <x:v>COO coordinates; every KPI owner contributes.</x:v>
      </x:c>
      <x:c r="D12" s="62" t="str">
        <x:v>Update KPI results, task reports, quantities, evidence, and tracked metrics.
Submit only topics requiring a decision, tradeoff, or escalation.
State the desired decision for every agenda item.</x:v>
      </x:c>
      <x:c r="E12" s="62"/>
      <x:c r="F12" s="62"/>
      <x:c r="G12" s="62"/>
      <x:c r="H12" s="62"/>
    </x:row>
    <x:row r="13" ht="72" customHeight="1">
      <x:c r="A13" s="63" t="str">
        <x:v>DURING</x:v>
      </x:c>
      <x:c r="B13" s="63" t="str">
        <x:v>TIMEBOXED</x:v>
      </x:c>
      <x:c r="C13" s="63" t="str">
        <x:v>Meeting lead facilitates; CEO resolves company tradeoffs.</x:v>
      </x:c>
      <x:c r="D13" s="63" t="str">
        <x:v>Start with the scorecard and exceptions; do not read status updates aloud.
Separate facts, assumptions, options, and the requested decision.
End every topic with one owner, success measure, and due date.</x:v>
      </x:c>
      <x:c r="E13" s="63"/>
      <x:c r="F13" s="63"/>
      <x:c r="G13" s="63"/>
      <x:c r="H13" s="63"/>
    </x:row>
    <x:row r="14" ht="72" customHeight="1">
      <x:c r="A14" s="64" t="str">
        <x:v>AFTER</x:v>
      </x:c>
      <x:c r="B14" s="64" t="str">
        <x:v>WITHIN 2 HOURS</x:v>
      </x:c>
      <x:c r="C14" s="64" t="str">
        <x:v>COO maintains the operating record.</x:v>
      </x:c>
      <x:c r="D14" s="64" t="str">
        <x:v>Publish decisions and actions with owners, dates, and measures.
Update any changed result, task, phase gate, or priority.
Escalate any unresolved blocker older than 48 hours to the CEO.</x:v>
      </x:c>
      <x:c r="E14" s="64"/>
      <x:c r="F14" s="64"/>
      <x:c r="G14" s="64"/>
      <x:c r="H14" s="64"/>
    </x:row>
    <x:row r="17" ht="30" customHeight="1">
      <x:c r="A17" s="52" t="str">
        <x:v>Operating Rule #</x:v>
      </x:c>
      <x:c r="B17" s="53" t="str">
        <x:v>Rule</x:v>
      </x:c>
      <x:c r="C17" s="53"/>
      <x:c r="D17" s="53"/>
      <x:c r="E17" s="53"/>
      <x:c r="F17" s="53"/>
      <x:c r="G17" s="53"/>
      <x:c r="H17" s="54"/>
    </x:row>
    <x:row r="18">
      <x:c r="A18" s="62" t="str">
        <x:v>01</x:v>
      </x:c>
      <x:c r="B18" s="62" t="str">
        <x:v>One directly responsible individual for every action.</x:v>
      </x:c>
      <x:c r="C18" s="62"/>
      <x:c r="D18" s="62"/>
      <x:c r="E18" s="62"/>
      <x:c r="F18" s="62"/>
      <x:c r="G18" s="62"/>
      <x:c r="H18" s="62"/>
    </x:row>
    <x:row r="19">
      <x:c r="A19" s="63" t="str">
        <x:v>02</x:v>
      </x:c>
      <x:c r="B19" s="63" t="str">
        <x:v>No commitment without an owner, metric, and deadline.</x:v>
      </x:c>
      <x:c r="C19" s="63"/>
      <x:c r="D19" s="63"/>
      <x:c r="E19" s="63"/>
      <x:c r="F19" s="63"/>
      <x:c r="G19" s="63"/>
      <x:c r="H19" s="63"/>
    </x:row>
    <x:row r="20">
      <x:c r="A20" s="63" t="str">
        <x:v>03</x:v>
      </x:c>
      <x:c r="B20" s="63" t="str">
        <x:v>Record every decision, rationale, and revisit condition.</x:v>
      </x:c>
      <x:c r="C20" s="63"/>
      <x:c r="D20" s="63"/>
      <x:c r="E20" s="63"/>
      <x:c r="F20" s="63"/>
      <x:c r="G20" s="63"/>
      <x:c r="H20" s="63"/>
    </x:row>
    <x:row r="21">
      <x:c r="A21" s="63" t="str">
        <x:v>04</x:v>
      </x:c>
      <x:c r="B21" s="63" t="str">
        <x:v>Below-minimum metrics take priority over new scope.</x:v>
      </x:c>
      <x:c r="C21" s="63"/>
      <x:c r="D21" s="63"/>
      <x:c r="E21" s="63"/>
      <x:c r="F21" s="63"/>
      <x:c r="G21" s="63"/>
      <x:c r="H21" s="63"/>
    </x:row>
    <x:row r="22">
      <x:c r="A22" s="64" t="str">
        <x:v>05</x:v>
      </x:c>
      <x:c r="B22" s="64" t="str">
        <x:v>Keep routine updates asynchronous.</x:v>
      </x:c>
      <x:c r="C22" s="64"/>
      <x:c r="D22" s="64"/>
      <x:c r="E22" s="64"/>
      <x:c r="F22" s="64"/>
      <x:c r="G22" s="64"/>
      <x:c r="H22" s="64"/>
    </x:row>
  </x:sheetData>
  <x:mergeCells>
    <x:mergeCell ref="A1:H1"/>
    <x:mergeCell ref="A2:H2"/>
    <x:mergeCell ref="D11:H11"/>
    <x:mergeCell ref="D12:H12"/>
    <x:mergeCell ref="D13:H13"/>
    <x:mergeCell ref="D14:H14"/>
    <x:mergeCell ref="B17:H17"/>
    <x:mergeCell ref="B18:H18"/>
    <x:mergeCell ref="B19:H19"/>
    <x:mergeCell ref="B20:H20"/>
    <x:mergeCell ref="B21:H21"/>
    <x:mergeCell ref="B22:H2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Workbook Guide &amp; Controlled Lists</x:v>
      </x:c>
      <x:c r="B1" s="3"/>
      <x:c r="C1" s="3"/>
      <x:c r="D1" s="3"/>
      <x:c r="E1" s="3"/>
      <x:c r="F1" s="3"/>
      <x:c r="G1" s="3"/>
      <x:c r="H1" s="3"/>
    </x:row>
    <x:row r="2" ht="22" customHeight="1">
      <x:c r="A2" s="5" t="str">
        <x:v>EDIT THE TRACKER SHEETS; DO NOT OVERWRITE FORMULA COLUMNS  |  SOURCE: JASONAI EXECUTIVE STRATEGY</x:v>
      </x:c>
      <x:c r="B2" s="5"/>
      <x:c r="C2" s="5"/>
      <x:c r="D2" s="5"/>
      <x:c r="E2" s="5"/>
      <x:c r="F2" s="5"/>
      <x:c r="G2" s="5"/>
      <x:c r="H2" s="5"/>
    </x:row>
    <x:row r="5" ht="30" customHeight="1">
      <x:c r="A5" s="52" t="str">
        <x:v>Workflow</x:v>
      </x:c>
      <x:c r="B5" s="54" t="str">
        <x:v>How to use it</x:v>
      </x:c>
      <x:c r="D5" s="52" t="str">
        <x:v>Status</x:v>
      </x:c>
      <x:c r="E5" s="53" t="str">
        <x:v>Priority</x:v>
      </x:c>
      <x:c r="F5" s="53" t="str">
        <x:v>Owners</x:v>
      </x:c>
      <x:c r="G5" s="53" t="str">
        <x:v>KPI Types</x:v>
      </x:c>
      <x:c r="H5" s="54" t="str">
        <x:v>Gate / Goal</x:v>
      </x:c>
    </x:row>
    <x:row r="6">
      <x:c r="A6" s="62" t="str">
        <x:v>Weekly execution</x:v>
      </x:c>
      <x:c r="B6" s="62" t="str">
        <x:v>Update task Status, Due Date, Quantity, Reported Result, Evidence, Priority, Notes, and Last Updated.</x:v>
      </x:c>
      <x:c r="D6" s="62" t="str">
        <x:v>Not Started</x:v>
      </x:c>
      <x:c r="E6" s="62" t="str">
        <x:v>Low</x:v>
      </x:c>
      <x:c r="F6" s="62" t="str">
        <x:v>CEO</x:v>
      </x:c>
      <x:c r="G6" s="62" t="str">
        <x:v>PRICING</x:v>
      </x:c>
      <x:c r="H6" s="62" t="str">
        <x:v>Not Assessed</x:v>
      </x:c>
    </x:row>
    <x:row r="7">
      <x:c r="A7" s="63" t="str">
        <x:v>KPI review</x:v>
      </x:c>
      <x:c r="B7" s="63" t="str">
        <x:v>Update Current Result, Gate Status, Goal Status, and Next Review. Task counts and execution are formula-driven.</x:v>
      </x:c>
      <x:c r="D7" s="63" t="str">
        <x:v>In Progress</x:v>
      </x:c>
      <x:c r="E7" s="63" t="str">
        <x:v>Medium</x:v>
      </x:c>
      <x:c r="F7" s="63" t="str">
        <x:v>COO</x:v>
      </x:c>
      <x:c r="G7" s="63" t="str">
        <x:v>PRODUCT</x:v>
      </x:c>
      <x:c r="H7" s="63" t="str">
        <x:v>Below Gate / Goal</x:v>
      </x:c>
    </x:row>
    <x:row r="8">
      <x:c r="A8" s="63" t="str">
        <x:v>Metric review</x:v>
      </x:c>
      <x:c r="B8" s="63" t="str">
        <x:v>Update Current Value, Frequency, Last Updated, Source / Evidence, and Notes for each tracked metric.</x:v>
      </x:c>
      <x:c r="D8" s="63" t="str">
        <x:v>Blocked</x:v>
      </x:c>
      <x:c r="E8" s="63" t="str">
        <x:v>High</x:v>
      </x:c>
      <x:c r="F8" s="63" t="str">
        <x:v>CTO</x:v>
      </x:c>
      <x:c r="G8" s="63" t="str">
        <x:v>SUCCESS</x:v>
      </x:c>
      <x:c r="H8" s="63" t="str">
        <x:v>Gate Met / Goal Met</x:v>
      </x:c>
    </x:row>
    <x:row r="9">
      <x:c r="A9" s="63" t="str">
        <x:v>Phase advancement</x:v>
      </x:c>
      <x:c r="B9" s="63" t="str">
        <x:v>Advance only when all three KPI minimum gates for the phase are marked Gate Met.</x:v>
      </x:c>
      <x:c r="D9" s="63" t="str">
        <x:v>Completed</x:v>
      </x:c>
      <x:c r="E9" s="63" t="str">
        <x:v>Critical</x:v>
      </x:c>
      <x:c r="F9" s="63" t="str"/>
      <x:c r="G9" s="63" t="str"/>
      <x:c r="H9" s="63" t="str"/>
    </x:row>
    <x:row r="10">
      <x:c r="A10" s="63" t="str">
        <x:v>Meetings</x:v>
      </x:c>
      <x:c r="B10" s="63" t="str">
        <x:v>Record every decision, action, risk, or learning in Meeting Actions with one owner, measure, and deadline.</x:v>
      </x:c>
      <x:c r="D10" s="64" t="str"/>
      <x:c r="E10" s="64" t="str"/>
      <x:c r="F10" s="64" t="str"/>
      <x:c r="G10" s="64" t="str"/>
      <x:c r="H10" s="64" t="str"/>
    </x:row>
    <x:row r="11">
      <x:c r="A11" s="64" t="str">
        <x:v>Dashboard</x:v>
      </x:c>
      <x:c r="B11" s="64" t="str">
        <x:v>Use the Executive Dashboard for progress, exceptions, and phase readiness. Do not type over dashboard formulas.</x:v>
      </x:c>
    </x:row>
    <x:row r="14">
      <x:c r="A14" s="80" t="str">
        <x:v>Sources and audit trail</x:v>
      </x:c>
      <x:c r="B14" s="80"/>
      <x:c r="C14" s="80"/>
      <x:c r="D14" s="80"/>
      <x:c r="E14" s="80"/>
      <x:c r="F14" s="80"/>
      <x:c r="G14" s="80"/>
      <x:c r="H14" s="80"/>
    </x:row>
    <x:row r="15">
      <x:c r="A15" s="62" t="str">
        <x:v>Interactive portal</x:v>
      </x:c>
      <x:c r="B15" s="62" t="str">
        <x:v>http://localhost:3001/internal/jason-ai</x:v>
      </x:c>
    </x:row>
    <x:row r="16">
      <x:c r="A16" s="63" t="str">
        <x:v>Executive strategy report</x:v>
      </x:c>
      <x:c r="B16" s="63" t="str">
        <x:v>http://localhost:3001/internal/jason-ai/executive-strategy</x:v>
      </x:c>
    </x:row>
    <x:row r="17">
      <x:c r="A17" s="63" t="str">
        <x:v>Strategy source</x:v>
      </x:c>
      <x:c r="B17" s="63" t="str">
        <x:v>scripts/generate_jasonai_strategy_pdf.py</x:v>
      </x:c>
    </x:row>
    <x:row r="18">
      <x:c r="A18" s="64" t="str">
        <x:v>Tracking source</x:v>
      </x:c>
      <x:c r="B18" s="64" t="str">
        <x:v>src/pages/internal/jason-ai/JasonAIInternalPortal.tsx</x:v>
      </x:c>
    </x:row>
  </x:sheetData>
  <x:mergeCells>
    <x:mergeCell ref="A1:H1"/>
    <x:mergeCell ref="A2:H2"/>
    <x:mergeCell ref="A14:H14"/>
  </x:mergeCells>
  <x:conditionalFormatting sqref="D6:D9">
    <x:cfRule type="containsText" dxfId="27" priority="1" operator="containsText" text="Completed"/>
    <x:cfRule type="containsText" dxfId="28" priority="2" operator="containsText" text="In Progress"/>
    <x:cfRule type="containsText" dxfId="29" priority="3" operator="containsText" text="Blocked"/>
  </x:conditionalFormatting>
  <x:conditionalFormatting sqref="G6:G8">
    <x:cfRule type="containsText" dxfId="30" priority="4" operator="containsText" text="PRICING"/>
    <x:cfRule type="containsText" dxfId="31" priority="5" operator="containsText" text="PRODUCT"/>
    <x:cfRule type="containsText" dxfId="32" priority="6" operator="containsText" text="SUCCESS"/>
  </x:conditionalFormatting>
  <x:pageMargins left="0.7" right="0.7" top="0.75" bottom="0.75" header="0.3" footer="0.3"/>
</x:worksheet>
</file>