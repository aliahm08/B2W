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5dddb2df9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a4ac1db5784c77"/>
    <x:sheet xmlns:r="http://schemas.openxmlformats.org/officeDocument/2006/relationships" name="Assumptions" sheetId="2" r:id="R8f6ea55ff950412f"/>
    <x:sheet xmlns:r="http://schemas.openxmlformats.org/officeDocument/2006/relationships" name="Year by Year" sheetId="3" r:id="Rb41f9c3176f843f5"/>
    <x:sheet xmlns:r="http://schemas.openxmlformats.org/officeDocument/2006/relationships" name="Model Logic" sheetId="4" r:id="R6e23d58344cd41a5"/>
    <x:sheet xmlns:r="http://schemas.openxmlformats.org/officeDocument/2006/relationships" name="Checks" sheetId="5" r:id="Rf393b77f0c124027"/>
  </x:sheets>
</x:workbook>
</file>

<file path=xl/comments1.xml><?xml version="1.0" encoding="utf-8"?>
<x:comments xmlns:x="http://schemas.openxmlformats.org/spreadsheetml/2006/main">
  <x:authors>
    <x:author>tc={B8693CE4-D2CD-260E-1FBF-61935102EEB7}</x:author>
    <x:author>tc={ADFF195C-1991-7F2C-4D80-8E436C4DE95E}</x:author>
    <x:author>tc={30FB5C52-D94C-E2A6-CD38-CB0DCABF7796}</x:author>
    <x:author>tc={B5A2DE86-9E2C-3C3E-92B3-A06FEE906661}</x:author>
    <x:author>tc={3ABF6688-3BB8-7FA1-7827-C82EE24AAAC4}</x:author>
    <x:author>tc={64AE2654-87DC-CD1C-2BDB-1D67A4103E45}</x:author>
    <x:author>tc={E13FC022-5446-F3E7-E6FA-BAB92E805617}</x:author>
    <x:author>tc={E9828CF3-A88E-16A2-E33B-657343280A07}</x:author>
    <x:author>tc={281F47CA-E5CA-50B2-3BB2-0D2166E1C32F}</x:author>
    <x:author>tc={79F49315-C486-90B6-2CE1-1A2DFEA98DC4}</x:author>
  </x:authors>
  <x:commentList>
    <x:comment ref="C1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business-band profile selected for scenario comparison. Editable; not an external market benchmark.</x:t>
        </x:r>
      </x:text>
    </x:comment>
    <x:comment ref="C1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business-band profile selected for scenario comparison. Editable; not an external market benchmark.</x:t>
        </x:r>
      </x:text>
    </x:comment>
    <x:comment ref="C1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business-band profile selected for scenario comparison. Editable; not an external market benchmark.</x:t>
        </x:r>
      </x:text>
    </x:comment>
    <x:comment ref="C2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Illustrative business-band profile selected for scenario comparison. Editable; not an external market benchmark.</x:t>
        </x:r>
      </x:text>
    </x:comment>
    <x:comment ref="B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Current JasonAI ROI calculator backend assumption.</x:t>
        </x:r>
      </x:text>
    </x:comment>
    <x:comment ref="B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Current JasonAI ROI calculator backend assumption.</x:t>
        </x:r>
      </x:text>
    </x:comment>
    <x:comment ref="B9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JasonAI standard pricing provided by the user and used in the live calculator.</x:t>
        </x:r>
      </x:text>
    </x:comment>
    <x:comment ref="B10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JasonAI pre-launch offer provided by the user and used in the live calculator.</x:t>
        </x:r>
      </x:text>
    </x:comment>
    <x:comment ref="B1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JasonAI standard pricing provided by the user and used in the live calculator.</x:t>
        </x:r>
      </x:text>
    </x:comment>
    <x:comment ref="B1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JasonAI pre-launch offer provided by the user and used in the live calculator.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%;[Red](0.0%);-"/>
    <x:numFmt numFmtId="201" formatCode="#,##0;[Red](#,##0);-"/>
    <x:numFmt numFmtId="202" formatCode="$#,##0;[Red]($#,##0);-"/>
    <x:numFmt numFmtId="203" formatCode="$#,##0"/>
    <x:numFmt numFmtId="204" formatCode="0.00;[Red](0.00);-"/>
    <x:numFmt numFmtId="205" formatCode="0.0x;[Red](0.0x);-"/>
    <x:numFmt numFmtId="206" formatCode="0.00&quot; mo.&quot;"/>
    <x:numFmt numFmtId="207" formatCode="$#,##0.00;[Red]($#,##0.00);-"/>
    <x:numFmt numFmtId="208" formatCode="$0.00"/>
  </x:numFmts>
  <x:fonts count="33">
    <x:font>
      <x:sz val="11"/>
      <x:name val="Carlito"/>
    </x:font>
    <x:font>
      <x:b/>
      <x:sz val="20"/>
      <x:color rgb="FFFFFFFF"/>
      <x:name val="Carlito"/>
    </x:font>
    <x:font>
      <x:sz val="10"/>
      <x:color rgb="FF6B6256"/>
      <x:name val="Carlito"/>
    </x:font>
    <x:font>
      <x:b/>
      <x:sz val="10"/>
      <x:color rgb="FFFFFFFF"/>
      <x:name val="Carlito"/>
    </x:font>
    <x:font>
      <x:b/>
      <x:sz val="10"/>
      <x:color rgb="FF141414"/>
      <x:name val="Carlito"/>
    </x:font>
    <x:font>
      <x:sz val="11"/>
      <x:color rgb="FF0000FF"/>
      <x:name val="Carlito"/>
    </x:font>
    <x:font>
      <x:sz val="9"/>
      <x:color rgb="FF6B6256"/>
      <x:name val="Carlito"/>
    </x:font>
    <x:font>
      <x:sz val="11"/>
      <x:color rgb="FF141414"/>
      <x:name val="Carlito"/>
    </x:font>
    <x:font>
      <x:b/>
      <x:sz val="20"/>
      <x:color rgb="FFFFFFFF"/>
      <x:name val="Aptos"/>
    </x:font>
    <x:font>
      <x:sz val="10"/>
      <x:color rgb="FF6B6256"/>
      <x:name val="Aptos"/>
    </x:font>
    <x:font>
      <x:sz val="11"/>
      <x:name val="Aptos"/>
    </x:font>
    <x:font>
      <x:b/>
      <x:sz val="10"/>
      <x:color rgb="FFFFFFFF"/>
      <x:name val="Aptos"/>
    </x:font>
    <x:font>
      <x:b/>
      <x:sz val="10"/>
      <x:color rgb="FF141414"/>
      <x:name val="Aptos"/>
    </x:font>
    <x:font>
      <x:sz val="11"/>
      <x:color rgb="FF0000FF"/>
      <x:name val="Aptos"/>
    </x:font>
    <x:font>
      <x:sz val="9"/>
      <x:color rgb="FF6B6256"/>
      <x:name val="Aptos"/>
    </x:font>
    <x:font>
      <x:sz val="11"/>
      <x:color rgb="FF141414"/>
      <x:name val="Aptos"/>
    </x:font>
    <x:font>
      <x:sz val="11"/>
      <x:color rgb="FF6B6256"/>
      <x:name val="Carlito"/>
    </x:font>
    <x:font>
      <x:sz val="11"/>
      <x:color rgb="FF6B6256"/>
      <x:name val="Aptos"/>
    </x:font>
    <x:font>
      <x:b/>
      <x:sz val="9"/>
      <x:color rgb="FFFFFFFF"/>
      <x:name val="Carlito"/>
    </x:font>
    <x:font>
      <x:sz val="11"/>
      <x:color rgb="FF008000"/>
      <x:name val="Carlito"/>
    </x:font>
    <x:font>
      <x:b/>
      <x:sz val="9"/>
      <x:color rgb="FF008000"/>
      <x:name val="Carlito"/>
    </x:font>
    <x:font>
      <x:b/>
      <x:sz val="11"/>
      <x:color rgb="FF141414"/>
      <x:name val="Carlito"/>
    </x:font>
    <x:font>
      <x:b/>
      <x:sz val="11"/>
      <x:color rgb="FF008000"/>
      <x:name val="Carlito"/>
    </x:font>
    <x:font>
      <x:sz val="11"/>
      <x:color rgb="FF008000"/>
      <x:name val="Aptos"/>
    </x:font>
    <x:font>
      <x:b/>
      <x:sz val="9"/>
      <x:color rgb="FFFFFFFF"/>
      <x:name val="Aptos"/>
    </x:font>
    <x:font>
      <x:b/>
      <x:sz val="9"/>
      <x:color rgb="FF008000"/>
      <x:name val="Aptos"/>
    </x:font>
    <x:font>
      <x:b/>
      <x:sz val="11"/>
      <x:color rgb="FF141414"/>
      <x:name val="Aptos"/>
    </x:font>
    <x:font>
      <x:b/>
      <x:sz val="11"/>
      <x:color rgb="FF008000"/>
      <x:name val="Aptos"/>
    </x:font>
    <x:font>
      <x:i/>
      <x:sz val="9"/>
      <x:color rgb="FF6B6256"/>
      <x:name val="Carlito"/>
    </x:font>
    <x:font>
      <x:sz val="9"/>
      <x:color rgb="FF141414"/>
      <x:name val="Carlito"/>
    </x:font>
    <x:font>
      <x:sz val="9"/>
      <x:color rgb="FF141414"/>
      <x:name val="Aptos"/>
    </x:font>
    <x:font>
      <x:b/>
      <x:sz val="11"/>
      <x:color rgb="FFFFFFFF"/>
      <x:name val="Carlito"/>
    </x:font>
    <x:font>
      <x:b/>
      <x:sz val="11"/>
      <x:color rgb="FF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41414"/>
      </x:patternFill>
    </x:fill>
    <x:fill>
      <x:patternFill patternType="solid">
        <x:fgColor rgb="FFFFFAF0"/>
      </x:patternFill>
    </x:fill>
    <x:fill>
      <x:patternFill patternType="solid">
        <x:fgColor rgb="FF1F5F7A"/>
      </x:patternFill>
    </x:fill>
    <x:fill>
      <x:patternFill patternType="solid">
        <x:fgColor rgb="FFF8F3E8"/>
      </x:patternFill>
    </x:fill>
    <x:fill>
      <x:patternFill patternType="solid">
        <x:fgColor rgb="FFFFFDF7"/>
      </x:patternFill>
    </x:fill>
    <x:fill>
      <x:patternFill patternType="solid">
        <x:fgColor rgb="FFFCFAF5"/>
      </x:patternFill>
    </x:fill>
    <x:fill>
      <x:patternFill patternType="solid">
        <x:fgColor rgb="FFE7F5EC"/>
      </x:patternFill>
    </x:fill>
    <x:fill>
      <x:patternFill patternType="solid">
        <x:fgColor rgb="FFFAF1E4"/>
      </x:patternFill>
    </x:fill>
  </x:fills>
  <x:borders count="11">
    <x:border/>
    <x:border>
      <x:bottom style="double">
        <x:color rgb="FFD9D2C3"/>
      </x:bottom>
    </x:border>
    <x:border>
      <x:bottom style="thin">
        <x:color rgb="FFD9D2C3"/>
      </x:bottom>
    </x:border>
    <x:border>
      <x:top style="thin">
        <x:color rgb="FFD9D2C3"/>
      </x:top>
      <x:bottom style="thin">
        <x:color rgb="FFD9D2C3"/>
      </x:bottom>
    </x:border>
    <x:border>
      <x:top style="thin">
        <x:color rgb="FFD9D2C3"/>
      </x:top>
    </x:border>
    <x:border>
      <x:top style="medium">
        <x:color rgb="FF1F5F7A"/>
      </x:top>
      <x:bottom style="thin">
        <x:color rgb="FFD9D2C3"/>
      </x:bottom>
    </x:border>
    <x:border>
      <x:top style="medium">
        <x:color rgb="FF2E8B57"/>
      </x:top>
      <x:bottom style="thin">
        <x:color rgb="FFD9D2C3"/>
      </x:bottom>
    </x:border>
    <x:border>
      <x:left style="thin">
        <x:color rgb="FFD8B07B"/>
      </x:left>
      <x:top style="thin">
        <x:color rgb="FFD8B07B"/>
      </x:top>
      <x:bottom style="thin">
        <x:color rgb="FFD8B07B"/>
      </x:bottom>
    </x:border>
    <x:border>
      <x:top style="thin">
        <x:color rgb="FFD8B07B"/>
      </x:top>
      <x:bottom style="thin">
        <x:color rgb="FFD8B07B"/>
      </x:bottom>
    </x:border>
    <x:border>
      <x:right style="thin">
        <x:color rgb="FFD8B07B"/>
      </x:right>
      <x:top style="thin">
        <x:color rgb="FFD8B07B"/>
      </x:top>
      <x:bottom style="thin">
        <x:color rgb="FFD8B07B"/>
      </x:bottom>
    </x:border>
    <x:border>
      <x:top style="medium">
        <x:color rgb="FF141414"/>
      </x:top>
    </x:border>
  </x:borders>
  <x:cellStyleXfs count="1">
    <x:xf numFmtId="0" fontId="0" fillId="0" borderId="0"/>
  </x:cellStyleXfs>
  <x:cellXfs count="2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right"/>
    </x:xf>
    <x:xf numFmtId="200" fontId="5" fillId="6" borderId="0" xfId="0" applyNumberFormat="1" applyFont="1" applyFill="1" applyBorder="1" applyAlignment="1">
      <x:alignment horizontal="right"/>
    </x:xf>
    <x:xf numFmtId="201" fontId="5" fillId="6" borderId="0" xfId="0" applyNumberFormat="1" applyFont="1" applyFill="1" applyBorder="1" applyAlignment="1">
      <x:alignment horizontal="right"/>
    </x:xf>
    <x:xf numFmtId="202" fontId="5" fillId="6" borderId="0" xfId="0" applyNumberFormat="1" applyFont="1" applyFill="1" applyBorder="1" applyAlignment="1">
      <x:alignment horizontal="right"/>
    </x:xf>
    <x:xf numFmtId="203" fontId="5" fillId="6" borderId="0" xfId="0" applyNumberFormat="1" applyFont="1" applyFill="1" applyBorder="1" applyAlignment="1">
      <x:alignment horizontal="right"/>
    </x:xf>
    <x:xf numFmtId="0" fontId="0" fillId="0" borderId="2" xfId="0" applyNumberFormat="1" applyFont="1" applyFill="1" applyBorder="1"/>
    <x:xf numFmtId="200" fontId="5" fillId="6" borderId="2" xfId="0" applyNumberFormat="1" applyFont="1" applyFill="1" applyBorder="1" applyAlignment="1">
      <x:alignment horizontal="right"/>
    </x:xf>
    <x:xf numFmtId="0" fontId="0" fillId="0" borderId="3" xfId="0" applyNumberFormat="1" applyFont="1" applyFill="1" applyBorder="1"/>
    <x:xf numFmtId="200" fontId="5" fillId="6" borderId="3" xfId="0" applyNumberFormat="1" applyFont="1" applyFill="1" applyBorder="1" applyAlignment="1">
      <x:alignment horizontal="right"/>
    </x:xf>
    <x:xf numFmtId="201" fontId="5" fillId="6" borderId="3" xfId="0" applyNumberFormat="1" applyFont="1" applyFill="1" applyBorder="1" applyAlignment="1">
      <x:alignment horizontal="right"/>
    </x:xf>
    <x:xf numFmtId="202" fontId="5" fillId="6" borderId="3" xfId="0" applyNumberFormat="1" applyFont="1" applyFill="1" applyBorder="1" applyAlignment="1">
      <x:alignment horizontal="right"/>
    </x:xf>
    <x:xf numFmtId="203" fontId="5" fillId="6" borderId="3" xfId="0" applyNumberFormat="1" applyFont="1" applyFill="1" applyBorder="1" applyAlignment="1">
      <x:alignment horizontal="right"/>
    </x:xf>
    <x:xf numFmtId="0" fontId="0" fillId="0" borderId="4" xfId="0" applyNumberFormat="1" applyFont="1" applyFill="1" applyBorder="1"/>
    <x:xf numFmtId="201" fontId="5" fillId="6" borderId="4" xfId="0" applyNumberFormat="1" applyFont="1" applyFill="1" applyBorder="1" applyAlignment="1">
      <x:alignment horizontal="right"/>
    </x:xf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1" fontId="5" fillId="6" borderId="0" xfId="0" applyNumberFormat="1" applyFont="1" applyFill="1" applyBorder="1"/>
    <x:xf numFmtId="200" fontId="7" fillId="0" borderId="0" xfId="0" applyNumberFormat="1" applyFont="1" applyFill="1" applyBorder="1"/>
    <x:xf numFmtId="204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5" fontId="7" fillId="0" borderId="0" xfId="0" applyNumberFormat="1" applyFont="1" applyFill="1" applyBorder="1"/>
    <x:xf numFmtId="0" fontId="5" fillId="6" borderId="2" xfId="0" applyNumberFormat="1" applyFont="1" applyFill="1" applyBorder="1"/>
    <x:xf numFmtId="201" fontId="5" fillId="6" borderId="2" xfId="0" applyNumberFormat="1" applyFont="1" applyFill="1" applyBorder="1"/>
    <x:xf numFmtId="200" fontId="7" fillId="0" borderId="2" xfId="0" applyNumberFormat="1" applyFont="1" applyFill="1" applyBorder="1"/>
    <x:xf numFmtId="204" fontId="7" fillId="0" borderId="2" xfId="0" applyNumberFormat="1" applyFont="1" applyFill="1" applyBorder="1"/>
    <x:xf numFmtId="201" fontId="7" fillId="0" borderId="2" xfId="0" applyNumberFormat="1" applyFont="1" applyFill="1" applyBorder="1"/>
    <x:xf numFmtId="202" fontId="7" fillId="0" borderId="2" xfId="0" applyNumberFormat="1" applyFont="1" applyFill="1" applyBorder="1"/>
    <x:xf numFmtId="205" fontId="7" fillId="0" borderId="2" xfId="0" applyNumberFormat="1" applyFont="1" applyFill="1" applyBorder="1"/>
    <x:xf numFmtId="0" fontId="5" fillId="6" borderId="3" xfId="0" applyNumberFormat="1" applyFont="1" applyFill="1" applyBorder="1"/>
    <x:xf numFmtId="201" fontId="5" fillId="6" borderId="3" xfId="0" applyNumberFormat="1" applyFont="1" applyFill="1" applyBorder="1"/>
    <x:xf numFmtId="200" fontId="7" fillId="0" borderId="3" xfId="0" applyNumberFormat="1" applyFont="1" applyFill="1" applyBorder="1"/>
    <x:xf numFmtId="204" fontId="7" fillId="0" borderId="3" xfId="0" applyNumberFormat="1" applyFont="1" applyFill="1" applyBorder="1"/>
    <x:xf numFmtId="201" fontId="7" fillId="0" borderId="3" xfId="0" applyNumberFormat="1" applyFont="1" applyFill="1" applyBorder="1"/>
    <x:xf numFmtId="202" fontId="7" fillId="0" borderId="3" xfId="0" applyNumberFormat="1" applyFont="1" applyFill="1" applyBorder="1"/>
    <x:xf numFmtId="205" fontId="7" fillId="0" borderId="3" xfId="0" applyNumberFormat="1" applyFont="1" applyFill="1" applyBorder="1"/>
    <x:xf numFmtId="0" fontId="5" fillId="6" borderId="4" xfId="0" applyNumberFormat="1" applyFont="1" applyFill="1" applyBorder="1"/>
    <x:xf numFmtId="201" fontId="5" fillId="6" borderId="4" xfId="0" applyNumberFormat="1" applyFont="1" applyFill="1" applyBorder="1"/>
    <x:xf numFmtId="200" fontId="7" fillId="0" borderId="4" xfId="0" applyNumberFormat="1" applyFont="1" applyFill="1" applyBorder="1"/>
    <x:xf numFmtId="204" fontId="7" fillId="0" borderId="4" xfId="0" applyNumberFormat="1" applyFont="1" applyFill="1" applyBorder="1"/>
    <x:xf numFmtId="201" fontId="7" fillId="0" borderId="4" xfId="0" applyNumberFormat="1" applyFont="1" applyFill="1" applyBorder="1"/>
    <x:xf numFmtId="202" fontId="7" fillId="0" borderId="4" xfId="0" applyNumberFormat="1" applyFont="1" applyFill="1" applyBorder="1"/>
    <x:xf numFmtId="205" fontId="7" fillId="0" borderId="4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vertical="center"/>
    </x:xf>
    <x:xf numFmtId="0" fontId="12" fillId="5" borderId="1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/>
    <x:xf numFmtId="200" fontId="13" fillId="6" borderId="2" xfId="0" applyNumberFormat="1" applyFont="1" applyFill="1" applyBorder="1" applyAlignment="1">
      <x:alignment horizontal="right"/>
    </x:xf>
    <x:xf numFmtId="0" fontId="14" fillId="0" borderId="2" xfId="0" applyNumberFormat="1" applyFont="1" applyFill="1" applyBorder="1" applyAlignment="1">
      <x:alignment wrapText="1"/>
    </x:xf>
    <x:xf numFmtId="0" fontId="10" fillId="0" borderId="3" xfId="0" applyNumberFormat="1" applyFont="1" applyFill="1" applyBorder="1"/>
    <x:xf numFmtId="200" fontId="13" fillId="6" borderId="3" xfId="0" applyNumberFormat="1" applyFont="1" applyFill="1" applyBorder="1" applyAlignment="1">
      <x:alignment horizontal="right"/>
    </x:xf>
    <x:xf numFmtId="0" fontId="14" fillId="0" borderId="3" xfId="0" applyNumberFormat="1" applyFont="1" applyFill="1" applyBorder="1" applyAlignment="1">
      <x:alignment wrapText="1"/>
    </x:xf>
    <x:xf numFmtId="201" fontId="13" fillId="6" borderId="3" xfId="0" applyNumberFormat="1" applyFont="1" applyFill="1" applyBorder="1" applyAlignment="1">
      <x:alignment horizontal="right"/>
    </x:xf>
    <x:xf numFmtId="202" fontId="13" fillId="6" borderId="3" xfId="0" applyNumberFormat="1" applyFont="1" applyFill="1" applyBorder="1" applyAlignment="1">
      <x:alignment horizontal="right"/>
    </x:xf>
    <x:xf numFmtId="203" fontId="13" fillId="6" borderId="3" xfId="0" applyNumberFormat="1" applyFont="1" applyFill="1" applyBorder="1" applyAlignment="1">
      <x:alignment horizontal="right"/>
    </x:xf>
    <x:xf numFmtId="0" fontId="10" fillId="0" borderId="4" xfId="0" applyNumberFormat="1" applyFont="1" applyFill="1" applyBorder="1"/>
    <x:xf numFmtId="201" fontId="13" fillId="6" borderId="4" xfId="0" applyNumberFormat="1" applyFont="1" applyFill="1" applyBorder="1" applyAlignment="1">
      <x:alignment horizontal="right"/>
    </x:xf>
    <x:xf numFmtId="0" fontId="14" fillId="0" borderId="4" xfId="0" applyNumberFormat="1" applyFont="1" applyFill="1" applyBorder="1" applyAlignment="1">
      <x:alignment wrapText="1"/>
    </x:xf>
    <x:xf numFmtId="0" fontId="13" fillId="6" borderId="2" xfId="0" applyNumberFormat="1" applyFont="1" applyFill="1" applyBorder="1"/>
    <x:xf numFmtId="201" fontId="13" fillId="6" borderId="2" xfId="0" applyNumberFormat="1" applyFont="1" applyFill="1" applyBorder="1"/>
    <x:xf numFmtId="200" fontId="15" fillId="0" borderId="2" xfId="0" applyNumberFormat="1" applyFont="1" applyFill="1" applyBorder="1"/>
    <x:xf numFmtId="204" fontId="15" fillId="0" borderId="2" xfId="0" applyNumberFormat="1" applyFont="1" applyFill="1" applyBorder="1"/>
    <x:xf numFmtId="201" fontId="15" fillId="0" borderId="2" xfId="0" applyNumberFormat="1" applyFont="1" applyFill="1" applyBorder="1"/>
    <x:xf numFmtId="202" fontId="15" fillId="0" borderId="2" xfId="0" applyNumberFormat="1" applyFont="1" applyFill="1" applyBorder="1"/>
    <x:xf numFmtId="205" fontId="15" fillId="0" borderId="2" xfId="0" applyNumberFormat="1" applyFont="1" applyFill="1" applyBorder="1"/>
    <x:xf numFmtId="0" fontId="13" fillId="6" borderId="3" xfId="0" applyNumberFormat="1" applyFont="1" applyFill="1" applyBorder="1"/>
    <x:xf numFmtId="201" fontId="13" fillId="6" borderId="3" xfId="0" applyNumberFormat="1" applyFont="1" applyFill="1" applyBorder="1"/>
    <x:xf numFmtId="200" fontId="15" fillId="0" borderId="3" xfId="0" applyNumberFormat="1" applyFont="1" applyFill="1" applyBorder="1"/>
    <x:xf numFmtId="204" fontId="15" fillId="0" borderId="3" xfId="0" applyNumberFormat="1" applyFont="1" applyFill="1" applyBorder="1"/>
    <x:xf numFmtId="201" fontId="15" fillId="0" borderId="3" xfId="0" applyNumberFormat="1" applyFont="1" applyFill="1" applyBorder="1"/>
    <x:xf numFmtId="202" fontId="15" fillId="0" borderId="3" xfId="0" applyNumberFormat="1" applyFont="1" applyFill="1" applyBorder="1"/>
    <x:xf numFmtId="205" fontId="15" fillId="0" borderId="3" xfId="0" applyNumberFormat="1" applyFont="1" applyFill="1" applyBorder="1"/>
    <x:xf numFmtId="0" fontId="13" fillId="6" borderId="4" xfId="0" applyNumberFormat="1" applyFont="1" applyFill="1" applyBorder="1"/>
    <x:xf numFmtId="201" fontId="13" fillId="6" borderId="4" xfId="0" applyNumberFormat="1" applyFont="1" applyFill="1" applyBorder="1"/>
    <x:xf numFmtId="200" fontId="15" fillId="0" borderId="4" xfId="0" applyNumberFormat="1" applyFont="1" applyFill="1" applyBorder="1"/>
    <x:xf numFmtId="204" fontId="15" fillId="0" borderId="4" xfId="0" applyNumberFormat="1" applyFont="1" applyFill="1" applyBorder="1"/>
    <x:xf numFmtId="201" fontId="15" fillId="0" borderId="4" xfId="0" applyNumberFormat="1" applyFont="1" applyFill="1" applyBorder="1"/>
    <x:xf numFmtId="202" fontId="15" fillId="0" borderId="4" xfId="0" applyNumberFormat="1" applyFont="1" applyFill="1" applyBorder="1"/>
    <x:xf numFmtId="205" fontId="15" fillId="0" borderId="4" xfId="0" applyNumberFormat="1" applyFont="1" applyFill="1" applyBorder="1"/>
    <x:xf numFmtId="205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6" fillId="0" borderId="0" xfId="0" applyNumberFormat="1" applyFont="1" applyFill="1" applyBorder="1"/>
    <x:xf numFmtId="0" fontId="16" fillId="0" borderId="2" xfId="0" applyNumberFormat="1" applyFont="1" applyFill="1" applyBorder="1"/>
    <x:xf numFmtId="0" fontId="16" fillId="0" borderId="3" xfId="0" applyNumberFormat="1" applyFont="1" applyFill="1" applyBorder="1"/>
    <x:xf numFmtId="0" fontId="16" fillId="0" borderId="4" xfId="0" applyNumberFormat="1" applyFont="1" applyFill="1" applyBorder="1"/>
    <x:xf numFmtId="0" fontId="16" fillId="7" borderId="2" xfId="0" applyNumberFormat="1" applyFont="1" applyFill="1" applyBorder="1"/>
    <x:xf numFmtId="205" fontId="7" fillId="7" borderId="2" xfId="0" applyNumberFormat="1" applyFont="1" applyFill="1" applyBorder="1"/>
    <x:xf numFmtId="202" fontId="7" fillId="7" borderId="2" xfId="0" applyNumberFormat="1" applyFont="1" applyFill="1" applyBorder="1"/>
    <x:xf numFmtId="0" fontId="16" fillId="7" borderId="3" xfId="0" applyNumberFormat="1" applyFont="1" applyFill="1" applyBorder="1"/>
    <x:xf numFmtId="205" fontId="7" fillId="7" borderId="3" xfId="0" applyNumberFormat="1" applyFont="1" applyFill="1" applyBorder="1"/>
    <x:xf numFmtId="202" fontId="7" fillId="7" borderId="3" xfId="0" applyNumberFormat="1" applyFont="1" applyFill="1" applyBorder="1"/>
    <x:xf numFmtId="0" fontId="16" fillId="7" borderId="5" xfId="0" applyNumberFormat="1" applyFont="1" applyFill="1" applyBorder="1"/>
    <x:xf numFmtId="205" fontId="7" fillId="7" borderId="5" xfId="0" applyNumberFormat="1" applyFont="1" applyFill="1" applyBorder="1"/>
    <x:xf numFmtId="202" fontId="7" fillId="7" borderId="5" xfId="0" applyNumberFormat="1" applyFont="1" applyFill="1" applyBorder="1"/>
    <x:xf numFmtId="0" fontId="16" fillId="0" borderId="5" xfId="0" applyNumberFormat="1" applyFont="1" applyFill="1" applyBorder="1"/>
    <x:xf numFmtId="205" fontId="7" fillId="0" borderId="5" xfId="0" applyNumberFormat="1" applyFont="1" applyFill="1" applyBorder="1"/>
    <x:xf numFmtId="202" fontId="7" fillId="0" borderId="5" xfId="0" applyNumberFormat="1" applyFont="1" applyFill="1" applyBorder="1"/>
    <x:xf numFmtId="0" fontId="17" fillId="7" borderId="5" xfId="0" applyNumberFormat="1" applyFont="1" applyFill="1" applyBorder="1"/>
    <x:xf numFmtId="205" fontId="15" fillId="7" borderId="5" xfId="0" applyNumberFormat="1" applyFont="1" applyFill="1" applyBorder="1"/>
    <x:xf numFmtId="202" fontId="15" fillId="7" borderId="5" xfId="0" applyNumberFormat="1" applyFont="1" applyFill="1" applyBorder="1"/>
    <x:xf numFmtId="0" fontId="17" fillId="7" borderId="3" xfId="0" applyNumberFormat="1" applyFont="1" applyFill="1" applyBorder="1"/>
    <x:xf numFmtId="205" fontId="15" fillId="7" borderId="3" xfId="0" applyNumberFormat="1" applyFont="1" applyFill="1" applyBorder="1"/>
    <x:xf numFmtId="202" fontId="15" fillId="7" borderId="3" xfId="0" applyNumberFormat="1" applyFont="1" applyFill="1" applyBorder="1"/>
    <x:xf numFmtId="0" fontId="17" fillId="0" borderId="5" xfId="0" applyNumberFormat="1" applyFont="1" applyFill="1" applyBorder="1"/>
    <x:xf numFmtId="205" fontId="15" fillId="0" borderId="5" xfId="0" applyNumberFormat="1" applyFont="1" applyFill="1" applyBorder="1"/>
    <x:xf numFmtId="202" fontId="15" fillId="0" borderId="5" xfId="0" applyNumberFormat="1" applyFont="1" applyFill="1" applyBorder="1"/>
    <x:xf numFmtId="0" fontId="17" fillId="0" borderId="3" xfId="0" applyNumberFormat="1" applyFont="1" applyFill="1" applyBorder="1"/>
    <x:xf numFmtId="0" fontId="17" fillId="0" borderId="4" xfId="0" applyNumberFormat="1" applyFont="1" applyFill="1" applyBorder="1"/>
    <x:xf numFmtId="0" fontId="18" fillId="4" borderId="0" xfId="0" applyNumberFormat="1" applyFont="1" applyFill="1" applyBorder="1"/>
    <x:xf numFmtId="0" fontId="18" fillId="4" borderId="2" xfId="0" applyNumberFormat="1" applyFont="1" applyFill="1" applyBorder="1"/>
    <x:xf numFmtId="0" fontId="18" fillId="2" borderId="0" xfId="0" applyNumberFormat="1" applyFont="1" applyFill="1" applyBorder="1"/>
    <x:xf numFmtId="0" fontId="18" fillId="2" borderId="2" xfId="0" applyNumberFormat="1" applyFont="1" applyFill="1" applyBorder="1"/>
    <x:xf numFmtId="0" fontId="18" fillId="4" borderId="3" xfId="0" applyNumberFormat="1" applyFont="1" applyFill="1" applyBorder="1"/>
    <x:xf numFmtId="0" fontId="18" fillId="2" borderId="3" xfId="0" applyNumberFormat="1" applyFont="1" applyFill="1" applyBorder="1"/>
    <x:xf numFmtId="0" fontId="0" fillId="0" borderId="2" xfId="0" applyNumberFormat="1" applyFont="1" applyFill="1" applyBorder="1" applyAlignment="1">
      <x:alignment horizontal="right"/>
    </x:xf>
    <x:xf numFmtId="0" fontId="0" fillId="0" borderId="3" xfId="0" applyNumberFormat="1" applyFont="1" applyFill="1" applyBorder="1" applyAlignment="1">
      <x:alignment horizontal="right"/>
    </x:xf>
    <x:xf numFmtId="0" fontId="18" fillId="4" borderId="3" xfId="0" applyNumberFormat="1" applyFont="1" applyFill="1" applyBorder="1" applyAlignment="1">
      <x:alignment horizontal="right"/>
    </x:xf>
    <x:xf numFmtId="0" fontId="18" fillId="2" borderId="3" xfId="0" applyNumberFormat="1" applyFont="1" applyFill="1" applyBorder="1" applyAlignment="1">
      <x:alignment horizontal="right"/>
    </x:xf>
    <x:xf numFmtId="0" fontId="0" fillId="0" borderId="4" xfId="0" applyNumberFormat="1" applyFont="1" applyFill="1" applyBorder="1" applyAlignment="1">
      <x:alignment horizontal="right"/>
    </x:xf>
    <x:xf numFmtId="0" fontId="19" fillId="0" borderId="2" xfId="0" applyNumberFormat="1" applyFont="1" applyFill="1" applyBorder="1" applyAlignment="1">
      <x:alignment horizontal="right"/>
    </x:xf>
    <x:xf numFmtId="0" fontId="19" fillId="0" borderId="3" xfId="0" applyNumberFormat="1" applyFont="1" applyFill="1" applyBorder="1" applyAlignment="1">
      <x:alignment horizontal="right"/>
    </x:xf>
    <x:xf numFmtId="0" fontId="20" fillId="4" borderId="3" xfId="0" applyNumberFormat="1" applyFont="1" applyFill="1" applyBorder="1" applyAlignment="1">
      <x:alignment horizontal="right"/>
    </x:xf>
    <x:xf numFmtId="0" fontId="20" fillId="2" borderId="3" xfId="0" applyNumberFormat="1" applyFont="1" applyFill="1" applyBorder="1" applyAlignment="1">
      <x:alignment horizontal="right"/>
    </x:xf>
    <x:xf numFmtId="0" fontId="19" fillId="0" borderId="4" xfId="0" applyNumberFormat="1" applyFont="1" applyFill="1" applyBorder="1" applyAlignment="1">
      <x:alignment horizontal="right"/>
    </x:xf>
    <x:xf numFmtId="201" fontId="19" fillId="0" borderId="3" xfId="0" applyNumberFormat="1" applyFont="1" applyFill="1" applyBorder="1" applyAlignment="1">
      <x:alignment horizontal="right"/>
    </x:xf>
    <x:xf numFmtId="202" fontId="19" fillId="0" borderId="3" xfId="0" applyNumberFormat="1" applyFont="1" applyFill="1" applyBorder="1" applyAlignment="1">
      <x:alignment horizontal="right"/>
    </x:xf>
    <x:xf numFmtId="200" fontId="19" fillId="0" borderId="3" xfId="0" applyNumberFormat="1" applyFont="1" applyFill="1" applyBorder="1" applyAlignment="1">
      <x:alignment horizontal="right"/>
    </x:xf>
    <x:xf numFmtId="205" fontId="19" fillId="0" borderId="3" xfId="0" applyNumberFormat="1" applyFont="1" applyFill="1" applyBorder="1" applyAlignment="1">
      <x:alignment horizontal="right"/>
    </x:xf>
    <x:xf numFmtId="206" fontId="19" fillId="0" borderId="4" xfId="0" applyNumberFormat="1" applyFont="1" applyFill="1" applyBorder="1" applyAlignment="1">
      <x:alignment horizontal="right"/>
    </x:xf>
    <x:xf numFmtId="0" fontId="0" fillId="7" borderId="3" xfId="0" applyNumberFormat="1" applyFont="1" applyFill="1" applyBorder="1"/>
    <x:xf numFmtId="202" fontId="19" fillId="7" borderId="3" xfId="0" applyNumberFormat="1" applyFont="1" applyFill="1" applyBorder="1" applyAlignment="1">
      <x:alignment horizontal="right"/>
    </x:xf>
    <x:xf numFmtId="200" fontId="19" fillId="7" borderId="3" xfId="0" applyNumberFormat="1" applyFont="1" applyFill="1" applyBorder="1" applyAlignment="1">
      <x:alignment horizontal="right"/>
    </x:xf>
    <x:xf numFmtId="205" fontId="19" fillId="7" borderId="3" xfId="0" applyNumberFormat="1" applyFont="1" applyFill="1" applyBorder="1" applyAlignment="1">
      <x:alignment horizontal="right"/>
    </x:xf>
    <x:xf numFmtId="0" fontId="0" fillId="7" borderId="4" xfId="0" applyNumberFormat="1" applyFont="1" applyFill="1" applyBorder="1"/>
    <x:xf numFmtId="206" fontId="19" fillId="7" borderId="4" xfId="0" applyNumberFormat="1" applyFont="1" applyFill="1" applyBorder="1" applyAlignment="1">
      <x:alignment horizontal="right"/>
    </x:xf>
    <x:xf numFmtId="0" fontId="0" fillId="8" borderId="3" xfId="0" applyNumberFormat="1" applyFont="1" applyFill="1" applyBorder="1"/>
    <x:xf numFmtId="202" fontId="19" fillId="8" borderId="3" xfId="0" applyNumberFormat="1" applyFont="1" applyFill="1" applyBorder="1" applyAlignment="1">
      <x:alignment horizontal="right"/>
    </x:xf>
    <x:xf numFmtId="200" fontId="19" fillId="8" borderId="3" xfId="0" applyNumberFormat="1" applyFont="1" applyFill="1" applyBorder="1" applyAlignment="1">
      <x:alignment horizontal="right"/>
    </x:xf>
    <x:xf numFmtId="0" fontId="21" fillId="8" borderId="3" xfId="0" applyNumberFormat="1" applyFont="1" applyFill="1" applyBorder="1"/>
    <x:xf numFmtId="202" fontId="21" fillId="8" borderId="3" xfId="0" applyNumberFormat="1" applyFont="1" applyFill="1" applyBorder="1" applyAlignment="1">
      <x:alignment horizontal="right"/>
    </x:xf>
    <x:xf numFmtId="200" fontId="21" fillId="8" borderId="3" xfId="0" applyNumberFormat="1" applyFont="1" applyFill="1" applyBorder="1" applyAlignment="1">
      <x:alignment horizontal="right"/>
    </x:xf>
    <x:xf numFmtId="0" fontId="21" fillId="8" borderId="6" xfId="0" applyNumberFormat="1" applyFont="1" applyFill="1" applyBorder="1"/>
    <x:xf numFmtId="202" fontId="21" fillId="8" borderId="6" xfId="0" applyNumberFormat="1" applyFont="1" applyFill="1" applyBorder="1" applyAlignment="1">
      <x:alignment horizontal="right"/>
    </x:xf>
    <x:xf numFmtId="202" fontId="22" fillId="8" borderId="6" xfId="0" applyNumberFormat="1" applyFont="1" applyFill="1" applyBorder="1" applyAlignment="1">
      <x:alignment horizontal="right"/>
    </x:xf>
    <x:xf numFmtId="200" fontId="22" fillId="8" borderId="3" xfId="0" applyNumberFormat="1" applyFont="1" applyFill="1" applyBorder="1" applyAlignment="1">
      <x:alignment horizontal="right"/>
    </x:xf>
    <x:xf numFmtId="0" fontId="23" fillId="0" borderId="2" xfId="0" applyNumberFormat="1" applyFont="1" applyFill="1" applyBorder="1" applyAlignment="1">
      <x:alignment horizontal="right"/>
    </x:xf>
    <x:xf numFmtId="0" fontId="23" fillId="0" borderId="3" xfId="0" applyNumberFormat="1" applyFont="1" applyFill="1" applyBorder="1" applyAlignment="1">
      <x:alignment horizontal="right"/>
    </x:xf>
    <x:xf numFmtId="0" fontId="24" fillId="4" borderId="3" xfId="0" applyNumberFormat="1" applyFont="1" applyFill="1" applyBorder="1"/>
    <x:xf numFmtId="0" fontId="25" fillId="4" borderId="3" xfId="0" applyNumberFormat="1" applyFont="1" applyFill="1" applyBorder="1" applyAlignment="1">
      <x:alignment horizontal="right"/>
    </x:xf>
    <x:xf numFmtId="201" fontId="23" fillId="0" borderId="3" xfId="0" applyNumberFormat="1" applyFont="1" applyFill="1" applyBorder="1" applyAlignment="1">
      <x:alignment horizontal="right"/>
    </x:xf>
    <x:xf numFmtId="202" fontId="23" fillId="0" borderId="3" xfId="0" applyNumberFormat="1" applyFont="1" applyFill="1" applyBorder="1" applyAlignment="1">
      <x:alignment horizontal="right"/>
    </x:xf>
    <x:xf numFmtId="200" fontId="23" fillId="0" borderId="3" xfId="0" applyNumberFormat="1" applyFont="1" applyFill="1" applyBorder="1" applyAlignment="1">
      <x:alignment horizontal="right"/>
    </x:xf>
    <x:xf numFmtId="205" fontId="23" fillId="0" borderId="3" xfId="0" applyNumberFormat="1" applyFont="1" applyFill="1" applyBorder="1" applyAlignment="1">
      <x:alignment horizontal="right"/>
    </x:xf>
    <x:xf numFmtId="0" fontId="24" fillId="2" borderId="3" xfId="0" applyNumberFormat="1" applyFont="1" applyFill="1" applyBorder="1"/>
    <x:xf numFmtId="0" fontId="25" fillId="2" borderId="3" xfId="0" applyNumberFormat="1" applyFont="1" applyFill="1" applyBorder="1" applyAlignment="1">
      <x:alignment horizontal="right"/>
    </x:xf>
    <x:xf numFmtId="0" fontId="10" fillId="7" borderId="3" xfId="0" applyNumberFormat="1" applyFont="1" applyFill="1" applyBorder="1"/>
    <x:xf numFmtId="202" fontId="23" fillId="7" borderId="3" xfId="0" applyNumberFormat="1" applyFont="1" applyFill="1" applyBorder="1" applyAlignment="1">
      <x:alignment horizontal="right"/>
    </x:xf>
    <x:xf numFmtId="0" fontId="26" fillId="8" borderId="6" xfId="0" applyNumberFormat="1" applyFont="1" applyFill="1" applyBorder="1"/>
    <x:xf numFmtId="202" fontId="27" fillId="8" borderId="6" xfId="0" applyNumberFormat="1" applyFont="1" applyFill="1" applyBorder="1" applyAlignment="1">
      <x:alignment horizontal="right"/>
    </x:xf>
    <x:xf numFmtId="0" fontId="26" fillId="8" borderId="3" xfId="0" applyNumberFormat="1" applyFont="1" applyFill="1" applyBorder="1"/>
    <x:xf numFmtId="200" fontId="27" fillId="8" borderId="3" xfId="0" applyNumberFormat="1" applyFont="1" applyFill="1" applyBorder="1" applyAlignment="1">
      <x:alignment horizontal="right"/>
    </x:xf>
    <x:xf numFmtId="205" fontId="23" fillId="7" borderId="3" xfId="0" applyNumberFormat="1" applyFont="1" applyFill="1" applyBorder="1" applyAlignment="1">
      <x:alignment horizontal="right"/>
    </x:xf>
    <x:xf numFmtId="0" fontId="10" fillId="7" borderId="4" xfId="0" applyNumberFormat="1" applyFont="1" applyFill="1" applyBorder="1"/>
    <x:xf numFmtId="206" fontId="23" fillId="7" borderId="4" xfId="0" applyNumberFormat="1" applyFont="1" applyFill="1" applyBorder="1" applyAlignment="1">
      <x:alignment horizontal="right"/>
    </x:xf>
    <x:xf numFmtId="0" fontId="1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1" xfId="0" applyNumberFormat="1" applyFont="1" applyFill="1" applyBorder="1"/>
    <x:xf numFmtId="0" fontId="12" fillId="5" borderId="1" xfId="0" applyNumberFormat="1" applyFont="1" applyFill="1" applyBorder="1" applyAlignment="1">
      <x:alignment wrapText="1"/>
    </x:xf>
    <x:xf numFmtId="202" fontId="10" fillId="0" borderId="0" xfId="0" applyNumberFormat="1" applyFont="1" applyFill="1" applyBorder="1"/>
    <x:xf numFmtId="202" fontId="10" fillId="0" borderId="2" xfId="0" applyNumberFormat="1" applyFont="1" applyFill="1" applyBorder="1"/>
    <x:xf numFmtId="202" fontId="10" fillId="0" borderId="3" xfId="0" applyNumberFormat="1" applyFont="1" applyFill="1" applyBorder="1"/>
    <x:xf numFmtId="202" fontId="10" fillId="0" borderId="4" xfId="0" applyNumberFormat="1" applyFont="1" applyFill="1" applyBorder="1"/>
    <x:xf numFmtId="0" fontId="0" fillId="9" borderId="0" xfId="0" applyNumberFormat="1" applyFont="1" applyFill="1" applyBorder="1"/>
    <x:xf numFmtId="0" fontId="28" fillId="9" borderId="0" xfId="0" applyNumberFormat="1" applyFont="1" applyFill="1" applyBorder="1"/>
    <x:xf numFmtId="0" fontId="28" fillId="9" borderId="7" xfId="0" applyNumberFormat="1" applyFont="1" applyFill="1" applyBorder="1"/>
    <x:xf numFmtId="0" fontId="28" fillId="9" borderId="8" xfId="0" applyNumberFormat="1" applyFont="1" applyFill="1" applyBorder="1"/>
    <x:xf numFmtId="0" fontId="28" fillId="9" borderId="9" xfId="0" applyNumberFormat="1" applyFont="1" applyFill="1" applyBorder="1"/>
    <x:xf numFmtId="0" fontId="28" fillId="9" borderId="7" xfId="0" applyNumberFormat="1" applyFont="1" applyFill="1" applyBorder="1" applyAlignment="1">
      <x:alignment wrapText="1"/>
    </x:xf>
    <x:xf numFmtId="0" fontId="28" fillId="9" borderId="8" xfId="0" applyNumberFormat="1" applyFont="1" applyFill="1" applyBorder="1" applyAlignment="1">
      <x:alignment wrapText="1"/>
    </x:xf>
    <x:xf numFmtId="0" fontId="28" fillId="9" borderId="9" xfId="0" applyNumberFormat="1" applyFont="1" applyFill="1" applyBorder="1" applyAlignment="1">
      <x:alignment wrapText="1"/>
    </x:xf>
    <x:xf numFmtId="0" fontId="21" fillId="0" borderId="2" xfId="0" applyNumberFormat="1" applyFont="1" applyFill="1" applyBorder="1"/>
    <x:xf numFmtId="0" fontId="21" fillId="0" borderId="3" xfId="0" applyNumberFormat="1" applyFont="1" applyFill="1" applyBorder="1"/>
    <x:xf numFmtId="0" fontId="21" fillId="0" borderId="4" xfId="0" applyNumberFormat="1" applyFont="1" applyFill="1" applyBorder="1"/>
    <x:xf numFmtId="0" fontId="29" fillId="0" borderId="2" xfId="0" applyNumberFormat="1" applyFont="1" applyFill="1" applyBorder="1" applyAlignment="1">
      <x:alignment wrapText="1"/>
    </x:xf>
    <x:xf numFmtId="0" fontId="29" fillId="0" borderId="3" xfId="0" applyNumberFormat="1" applyFont="1" applyFill="1" applyBorder="1" applyAlignment="1">
      <x:alignment wrapText="1"/>
    </x:xf>
    <x:xf numFmtId="0" fontId="29" fillId="0" borderId="4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26" fillId="0" borderId="2" xfId="0" applyNumberFormat="1" applyFont="1" applyFill="1" applyBorder="1"/>
    <x:xf numFmtId="0" fontId="30" fillId="0" borderId="2" xfId="0" applyNumberFormat="1" applyFont="1" applyFill="1" applyBorder="1" applyAlignment="1">
      <x:alignment wrapText="1"/>
    </x:xf>
    <x:xf numFmtId="0" fontId="26" fillId="0" borderId="3" xfId="0" applyNumberFormat="1" applyFont="1" applyFill="1" applyBorder="1"/>
    <x:xf numFmtId="0" fontId="30" fillId="0" borderId="3" xfId="0" applyNumberFormat="1" applyFont="1" applyFill="1" applyBorder="1" applyAlignment="1">
      <x:alignment wrapText="1"/>
    </x:xf>
    <x:xf numFmtId="0" fontId="26" fillId="0" borderId="4" xfId="0" applyNumberFormat="1" applyFont="1" applyFill="1" applyBorder="1"/>
    <x:xf numFmtId="0" fontId="30" fillId="0" borderId="4" xfId="0" applyNumberFormat="1" applyFont="1" applyFill="1" applyBorder="1" applyAlignment="1">
      <x:alignment wrapText="1"/>
    </x:xf>
    <x:xf numFmtId="0" fontId="31" fillId="2" borderId="0" xfId="0" applyNumberFormat="1" applyFont="1" applyFill="1" applyBorder="1"/>
    <x:xf numFmtId="0" fontId="31" fillId="2" borderId="10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2" xfId="0" applyNumberFormat="1" applyFont="1" applyFill="1" applyBorder="1"/>
    <x:xf numFmtId="207" fontId="0" fillId="0" borderId="2" xfId="0" applyNumberFormat="1" applyFont="1" applyFill="1" applyBorder="1"/>
    <x:xf numFmtId="208" fontId="0" fillId="0" borderId="2" xfId="0" applyNumberFormat="1" applyFont="1" applyFill="1" applyBorder="1"/>
    <x:xf numFmtId="202" fontId="0" fillId="0" borderId="3" xfId="0" applyNumberFormat="1" applyFont="1" applyFill="1" applyBorder="1"/>
    <x:xf numFmtId="207" fontId="0" fillId="0" borderId="3" xfId="0" applyNumberFormat="1" applyFont="1" applyFill="1" applyBorder="1"/>
    <x:xf numFmtId="208" fontId="0" fillId="0" borderId="3" xfId="0" applyNumberFormat="1" applyFont="1" applyFill="1" applyBorder="1"/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207" fontId="10" fillId="0" borderId="2" xfId="0" applyNumberFormat="1" applyFont="1" applyFill="1" applyBorder="1"/>
    <x:xf numFmtId="208" fontId="10" fillId="0" borderId="2" xfId="0" applyNumberFormat="1" applyFont="1" applyFill="1" applyBorder="1"/>
    <x:xf numFmtId="207" fontId="10" fillId="0" borderId="3" xfId="0" applyNumberFormat="1" applyFont="1" applyFill="1" applyBorder="1"/>
    <x:xf numFmtId="208" fontId="10" fillId="0" borderId="3" xfId="0" applyNumberFormat="1" applyFont="1" applyFill="1" applyBorder="1"/>
    <x:xf numFmtId="201" fontId="10" fillId="0" borderId="3" xfId="0" applyNumberFormat="1" applyFont="1" applyFill="1" applyBorder="1"/>
    <x:xf numFmtId="201" fontId="10" fillId="0" borderId="4" xfId="0" applyNumberFormat="1" applyFont="1" applyFill="1" applyBorder="1"/>
    <x:xf numFmtId="0" fontId="32" fillId="2" borderId="10" xfId="0" applyNumberFormat="1" applyFont="1" applyFill="1" applyBorder="1"/>
  </x:cellXfs>
  <x:cellStyles count="1">
    <x:cellStyle name="Normal" xfId="0"/>
  </x:cellStyles>
  <x:dxfs count="4">
    <x:dxf>
      <x:font>
        <x:b/>
        <x:color rgb="FF2E8B57"/>
      </x:font>
      <x:fill>
        <x:patternFill patternType="solid">
          <x:bgColor rgb="FFE7F5EC"/>
        </x:patternFill>
      </x:fill>
    </x:dxf>
    <x:dxf>
      <x:font>
        <x:b/>
        <x:color rgb="FFC0392B"/>
      </x:font>
      <x:fill>
        <x:patternFill patternType="solid">
          <x:bgColor rgb="FFFDECEC"/>
        </x:patternFill>
      </x:fill>
    </x:dxf>
    <x:dxf>
      <x:font>
        <x:b/>
        <x:color rgb="FFFFFFFF"/>
      </x:font>
      <x:fill>
        <x:patternFill patternType="solid">
          <x:bgColor rgb="FF2E8B57"/>
        </x:patternFill>
      </x:fill>
    </x:dxf>
    <x:dxf>
      <x:font>
        <x:b/>
        <x:color rgb="FFFFFFFF"/>
      </x:font>
      <x:fill>
        <x:patternFill patternType="solid">
          <x:bgColor rgb="FFC0392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410c29f7e464d" /><Relationship Type="http://schemas.openxmlformats.org/officeDocument/2006/relationships/theme" Target="/xl/theme/theme1.xml" Id="R860a80fa443741ec" /><Relationship Type="http://schemas.openxmlformats.org/officeDocument/2006/relationships/sharedStrings" Target="/xl/sharedStrings.xml" Id="Rce2df01c7bce47df" /><Relationship Type="http://schemas.openxmlformats.org/officeDocument/2006/relationships/worksheet" Target="/xl/worksheets/sheet1.xml" Id="R05a4ac1db5784c77" /><Relationship Type="http://schemas.openxmlformats.org/officeDocument/2006/relationships/worksheet" Target="/xl/worksheets/sheet2.xml" Id="R8f6ea55ff950412f" /><Relationship Type="http://schemas.openxmlformats.org/officeDocument/2006/relationships/worksheet" Target="/xl/worksheets/sheet3.xml" Id="Rb41f9c3176f843f5" /><Relationship Type="http://schemas.openxmlformats.org/officeDocument/2006/relationships/worksheet" Target="/xl/worksheets/sheet4.xml" Id="R6e23d58344cd41a5" /><Relationship Type="http://schemas.openxmlformats.org/officeDocument/2006/relationships/worksheet" Target="/xl/worksheets/sheet5.xml" Id="Rf393b77f0c124027" /><Relationship Type="http://schemas.microsoft.com/office/2017/10/relationships/person" Target="/xl/persons/person.xml" Id="Re64a669ab1d94c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bd99f389a048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Four-Year Net Return by Business Band ($)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Four-Year Net Return</c:v>
          </c:tx>
          <c:cat>
            <c:strRef>
              <c:f>'Summary'!$G$5:$G$8</c:f>
              <c:strCache>
                <c:ptCount val="0"/>
              </c:strCache>
            </c:strRef>
          </c:cat>
          <c:val>
            <c:numRef>
              <c:f>'Summary'!$H$5:$H$8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bd99f389a048ee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79892440-42E3-47BB-83E1-E53451AA222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17" dT="2026-07-28T23:01:31.002" personId="{79892440-42E3-47BB-83E1-E53451AA2223}" id="{B8693CE4-D2CD-260E-1FBF-61935102EEB7}">
    <xltc:text>Illustrative business-band profile selected for scenario comparison. Editable; not an external market benchmark.</xltc:text>
  </xltc:threadedComment>
  <xltc:threadedComment ref="C18" dT="2026-07-28T23:01:31.004" personId="{79892440-42E3-47BB-83E1-E53451AA2223}" id="{ADFF195C-1991-7F2C-4D80-8E436C4DE95E}">
    <xltc:text>Illustrative business-band profile selected for scenario comparison. Editable; not an external market benchmark.</xltc:text>
  </xltc:threadedComment>
  <xltc:threadedComment ref="C19" dT="2026-07-28T23:01:31.004" personId="{79892440-42E3-47BB-83E1-E53451AA2223}" id="{30FB5C52-D94C-E2A6-CD38-CB0DCABF7796}">
    <xltc:text>Illustrative business-band profile selected for scenario comparison. Editable; not an external market benchmark.</xltc:text>
  </xltc:threadedComment>
  <xltc:threadedComment ref="C20" dT="2026-07-28T23:01:31.004" personId="{79892440-42E3-47BB-83E1-E53451AA2223}" id="{B5A2DE86-9E2C-3C3E-92B3-A06FEE906661}">
    <xltc:text>Illustrative business-band profile selected for scenario comparison. Editable; not an external market benchmark.</xltc:text>
  </xltc:threadedComment>
  <xltc:threadedComment ref="B6" dT="2026-07-28T23:01:31.004" personId="{79892440-42E3-47BB-83E1-E53451AA2223}" id="{3ABF6688-3BB8-7FA1-7827-C82EE24AAAC4}">
    <xltc:text>Source: Current JasonAI ROI calculator backend assumption.</xltc:text>
  </xltc:threadedComment>
  <xltc:threadedComment ref="B7" dT="2026-07-28T23:01:31.004" personId="{79892440-42E3-47BB-83E1-E53451AA2223}" id="{64AE2654-87DC-CD1C-2BDB-1D67A4103E45}">
    <xltc:text>Source: Current JasonAI ROI calculator backend assumption.</xltc:text>
  </xltc:threadedComment>
  <xltc:threadedComment ref="B9" dT="2026-07-28T23:01:31.004" personId="{79892440-42E3-47BB-83E1-E53451AA2223}" id="{E13FC022-5446-F3E7-E6FA-BAB92E805617}">
    <xltc:text>Source: JasonAI standard pricing provided by the user and used in the live calculator.</xltc:text>
  </xltc:threadedComment>
  <xltc:threadedComment ref="B10" dT="2026-07-28T23:01:31.004" personId="{79892440-42E3-47BB-83E1-E53451AA2223}" id="{E9828CF3-A88E-16A2-E33B-657343280A07}">
    <xltc:text>Source: JasonAI pre-launch offer provided by the user and used in the live calculator.</xltc:text>
  </xltc:threadedComment>
  <xltc:threadedComment ref="B11" dT="2026-07-28T23:01:31.004" personId="{79892440-42E3-47BB-83E1-E53451AA2223}" id="{281F47CA-E5CA-50B2-3BB2-0D2166E1C32F}">
    <xltc:text>Source: JasonAI standard pricing provided by the user and used in the live calculator.</xltc:text>
  </xltc:threadedComment>
  <xltc:threadedComment ref="B12" dT="2026-07-28T23:01:31.004" personId="{79892440-42E3-47BB-83E1-E53451AA2223}" id="{79F49315-C486-90B6-2CE1-1A2DFEA98DC4}">
    <xltc:text>Source: JasonAI pre-launch offer provided by the user and used in the live calculator.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73015b87b847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9aafd564bac4bd4" /><Relationship Type="http://schemas.openxmlformats.org/officeDocument/2006/relationships/vmlDrawing" Target="/xl/drawings/vmldrawing.vml" Id="Ra16dd42416b74023" /><Relationship Type="http://schemas.microsoft.com/office/2017/10/relationships/threadedComment" Target="/xl/threadedcomments/threadedcomment.xml" Id="Rb1e650e7fc9749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7" max="7" width="2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66" t="str">
        <x:v>JasonAI ROI — Four Representative Business Bands</x:v>
      </x:c>
      <x:c r="B1" s="66" t="str">
        <x:v>JasonAI ROI — Four Representative Business Bands</x:v>
      </x:c>
      <x:c r="C1" s="66" t="str">
        <x:v>JasonAI ROI — Four Representative Business Bands</x:v>
      </x:c>
      <x:c r="D1" s="66" t="str">
        <x:v>JasonAI ROI — Four Representative Business Bands</x:v>
      </x:c>
      <x:c r="E1" s="66" t="str">
        <x:v>JasonAI ROI — Four Representative Business Bands</x:v>
      </x:c>
      <x:c r="F1" s="66" t="str">
        <x:v>JasonAI ROI — Four Representative Business Bands</x:v>
      </x:c>
      <x:c r="G1" s="66" t="str">
        <x:v>JasonAI ROI — Four Representative Business Bands</x:v>
      </x:c>
      <x:c r="H1" s="66" t="str">
        <x:v>JasonAI ROI — Four Representative Business Bands</x:v>
      </x:c>
      <x:c r="I1" s="66" t="str">
        <x:v>JasonAI ROI — Four Representative Business Bands</x:v>
      </x:c>
      <x:c r="J1" s="66" t="str">
        <x:v>JasonAI ROI — Four Representative Business Bands</x:v>
      </x:c>
      <x:c r="K1" s="66" t="str">
        <x:v>JasonAI ROI — Four Representative Business Bands</x:v>
      </x:c>
      <x:c r="L1" s="66" t="str">
        <x:v>JasonAI ROI — Four Representative Business Bands</x:v>
      </x:c>
      <x:c r="M1" s="66" t="str">
        <x:v>JasonAI ROI — Four Representative Business Bands</x:v>
      </x:c>
      <x:c r="N1" s="66" t="str">
        <x:v>JasonAI ROI — Four Representative Business Bands</x:v>
      </x:c>
    </x:row>
    <x:row r="2" ht="30" customHeight="1">
      <x:c r="A2" s="67" t="str">
        <x:v>Comparison of editable operating profiles using the current website calculator assumptions and pre-launch pricing.</x:v>
      </x:c>
      <x:c r="B2" s="67" t="str">
        <x:v>Comparison of editable operating profiles using the current website calculator assumptions and pre-launch pricing.</x:v>
      </x:c>
      <x:c r="C2" s="67" t="str">
        <x:v>Comparison of editable operating profiles using the current website calculator assumptions and pre-launch pricing.</x:v>
      </x:c>
      <x:c r="D2" s="67" t="str">
        <x:v>Comparison of editable operating profiles using the current website calculator assumptions and pre-launch pricing.</x:v>
      </x:c>
      <x:c r="E2" s="67" t="str">
        <x:v>Comparison of editable operating profiles using the current website calculator assumptions and pre-launch pricing.</x:v>
      </x:c>
      <x:c r="F2" s="67" t="str">
        <x:v>Comparison of editable operating profiles using the current website calculator assumptions and pre-launch pricing.</x:v>
      </x:c>
      <x:c r="G2" s="67" t="str">
        <x:v>Comparison of editable operating profiles using the current website calculator assumptions and pre-launch pricing.</x:v>
      </x:c>
      <x:c r="H2" s="67" t="str">
        <x:v>Comparison of editable operating profiles using the current website calculator assumptions and pre-launch pricing.</x:v>
      </x:c>
      <x:c r="I2" s="67" t="str">
        <x:v>Comparison of editable operating profiles using the current website calculator assumptions and pre-launch pricing.</x:v>
      </x:c>
      <x:c r="J2" s="67" t="str">
        <x:v>Comparison of editable operating profiles using the current website calculator assumptions and pre-launch pricing.</x:v>
      </x:c>
      <x:c r="K2" s="67" t="str">
        <x:v>Comparison of editable operating profiles using the current website calculator assumptions and pre-launch pricing.</x:v>
      </x:c>
      <x:c r="L2" s="67" t="str">
        <x:v>Comparison of editable operating profiles using the current website calculator assumptions and pre-launch pricing.</x:v>
      </x:c>
      <x:c r="M2" s="67" t="str">
        <x:v>Comparison of editable operating profiles using the current website calculator assumptions and pre-launch pricing.</x:v>
      </x:c>
      <x:c r="N2" s="67" t="str">
        <x:v>Comparison of editable operating profiles using the current website calculator assumptions and pre-launch pricing.</x:v>
      </x:c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</x:row>
    <x:row r="4" ht="30" customHeight="1">
      <x:c r="A4" s="70" t="str">
        <x:v>Metric</x:v>
      </x:c>
      <x:c r="B4" s="70" t="str">
        <x:v>Small General Contractor</x:v>
      </x:c>
      <x:c r="C4" s="70" t="str">
        <x:v>Midsize General Contractor</x:v>
      </x:c>
      <x:c r="D4" s="70" t="str">
        <x:v>Startup Contracting Firm</x:v>
      </x:c>
      <x:c r="E4" s="70" t="str">
        <x:v>Scaling Contracting Firm</x:v>
      </x:c>
      <x:c r="F4" s="68"/>
      <x:c r="G4" s="70" t="str">
        <x:v>Business Band</x:v>
      </x:c>
      <x:c r="H4" s="70" t="str">
        <x:v>Four-Year Net Return</x:v>
      </x:c>
      <x:c r="I4" s="68"/>
      <x:c r="J4" s="68"/>
      <x:c r="K4" s="68"/>
      <x:c r="L4" s="68"/>
      <x:c r="M4" s="68"/>
      <x:c r="N4" s="68"/>
    </x:row>
    <x:row r="5">
      <x:c r="A5" s="71" t="str">
        <x:v>Business type</x:v>
      </x:c>
      <x:c r="B5" s="170" t="str">
        <x:f>'Assumptions'!B17</x:f>
        <x:v>General Contractor</x:v>
      </x:c>
      <x:c r="C5" s="170" t="str">
        <x:f>'Assumptions'!B18</x:f>
        <x:v>General Contractor</x:v>
      </x:c>
      <x:c r="D5" s="170" t="str">
        <x:f>'Assumptions'!B19</x:f>
        <x:v>Contracting Firm</x:v>
      </x:c>
      <x:c r="E5" s="170" t="str">
        <x:f>'Assumptions'!B20</x:f>
        <x:v>Contracting Firm</x:v>
      </x:c>
      <x:c r="F5" s="68"/>
      <x:c r="G5" s="71" t="str">
        <x:v>Small GC</x:v>
      </x:c>
      <x:c r="H5" s="194" t="n">
        <x:f>B$25</x:f>
        <x:v>184615.39968000003</x:v>
      </x:c>
      <x:c r="I5" s="68"/>
      <x:c r="J5" s="68"/>
      <x:c r="K5" s="68"/>
      <x:c r="L5" s="68"/>
      <x:c r="M5" s="68"/>
      <x:c r="N5" s="68"/>
    </x:row>
    <x:row r="6">
      <x:c r="A6" s="74" t="str"/>
      <x:c r="B6" s="171"/>
      <x:c r="C6" s="171"/>
      <x:c r="D6" s="171"/>
      <x:c r="E6" s="171"/>
      <x:c r="F6" s="68"/>
      <x:c r="G6" s="74" t="str">
        <x:v>Midsize GC</x:v>
      </x:c>
      <x:c r="H6" s="195" t="n">
        <x:f>C$25</x:f>
        <x:v>671451.3303</x:v>
      </x:c>
      <x:c r="I6" s="68"/>
      <x:c r="J6" s="68"/>
      <x:c r="K6" s="68"/>
      <x:c r="L6" s="68"/>
      <x:c r="M6" s="68"/>
      <x:c r="N6" s="68"/>
    </x:row>
    <x:row r="7" ht="22" customHeight="1">
      <x:c r="A7" s="172" t="str">
        <x:v>REPRESENTATIVE INPUTS</x:v>
      </x:c>
      <x:c r="B7" s="173"/>
      <x:c r="C7" s="173"/>
      <x:c r="D7" s="173"/>
      <x:c r="E7" s="173"/>
      <x:c r="F7" s="68"/>
      <x:c r="G7" s="74" t="str">
        <x:v>Startup Firm</x:v>
      </x:c>
      <x:c r="H7" s="195" t="n">
        <x:f>D$25</x:f>
        <x:v>279612.5967267</x:v>
      </x:c>
      <x:c r="I7" s="68"/>
      <x:c r="J7" s="68"/>
      <x:c r="K7" s="68"/>
      <x:c r="L7" s="68"/>
      <x:c r="M7" s="68"/>
      <x:c r="N7" s="68"/>
    </x:row>
    <x:row r="8">
      <x:c r="A8" s="74" t="str">
        <x:v>Employees</x:v>
      </x:c>
      <x:c r="B8" s="174" t="n">
        <x:f>'Assumptions'!C17</x:f>
        <x:v>12</x:v>
      </x:c>
      <x:c r="C8" s="174" t="n">
        <x:f>'Assumptions'!C18</x:f>
        <x:v>50</x:v>
      </x:c>
      <x:c r="D8" s="174" t="n">
        <x:f>'Assumptions'!C19</x:f>
        <x:v>20</x:v>
      </x:c>
      <x:c r="E8" s="174" t="n">
        <x:f>'Assumptions'!C20</x:f>
        <x:v>50</x:v>
      </x:c>
      <x:c r="F8" s="68"/>
      <x:c r="G8" s="80" t="str">
        <x:v>Scaling Firm</x:v>
      </x:c>
      <x:c r="H8" s="196" t="n">
        <x:f>E$25</x:f>
        <x:v>843916.4761920001</x:v>
      </x:c>
      <x:c r="I8" s="68"/>
      <x:c r="J8" s="68"/>
      <x:c r="K8" s="68"/>
      <x:c r="L8" s="68"/>
      <x:c r="M8" s="68"/>
      <x:c r="N8" s="68"/>
    </x:row>
    <x:row r="9">
      <x:c r="A9" s="74" t="str">
        <x:v>Active projects</x:v>
      </x:c>
      <x:c r="B9" s="174" t="n">
        <x:f>'Assumptions'!D17</x:f>
        <x:v>6</x:v>
      </x:c>
      <x:c r="C9" s="174" t="n">
        <x:f>'Assumptions'!D18</x:f>
        <x:v>20</x:v>
      </x:c>
      <x:c r="D9" s="174" t="n">
        <x:f>'Assumptions'!D19</x:f>
        <x:v>8</x:v>
      </x:c>
      <x:c r="E9" s="174" t="n">
        <x:f>'Assumptions'!D20</x:f>
        <x:v>20</x:v>
      </x:c>
      <x:c r="F9" s="68"/>
      <x:c r="G9" s="68"/>
      <x:c r="H9" s="68"/>
      <x:c r="I9" s="68"/>
      <x:c r="J9" s="68"/>
      <x:c r="K9" s="68"/>
      <x:c r="L9" s="68"/>
      <x:c r="M9" s="68"/>
      <x:c r="N9" s="68"/>
    </x:row>
    <x:row r="10">
      <x:c r="A10" s="74" t="str">
        <x:v>Average project duration (weeks)</x:v>
      </x:c>
      <x:c r="B10" s="174" t="n">
        <x:f>'Assumptions'!E17</x:f>
        <x:v>16</x:v>
      </x:c>
      <x:c r="C10" s="174" t="n">
        <x:f>'Assumptions'!E18</x:f>
        <x:v>20</x:v>
      </x:c>
      <x:c r="D10" s="174" t="n">
        <x:f>'Assumptions'!E19</x:f>
        <x:v>18</x:v>
      </x:c>
      <x:c r="E10" s="174" t="n">
        <x:f>'Assumptions'!E20</x:f>
        <x:v>20</x:v>
      </x:c>
      <x:c r="F10" s="68"/>
      <x:c r="G10" s="68"/>
      <x:c r="H10" s="68"/>
      <x:c r="I10" s="68"/>
      <x:c r="J10" s="68"/>
      <x:c r="K10" s="68"/>
      <x:c r="L10" s="68"/>
      <x:c r="M10" s="68"/>
      <x:c r="N10" s="68"/>
    </x:row>
    <x:row r="11">
      <x:c r="A11" s="74" t="str"/>
      <x:c r="B11" s="171"/>
      <x:c r="C11" s="171"/>
      <x:c r="D11" s="171"/>
      <x:c r="E11" s="171"/>
      <x:c r="F11" s="68"/>
      <x:c r="G11" s="68"/>
      <x:c r="H11" s="68"/>
      <x:c r="I11" s="68"/>
      <x:c r="J11" s="68"/>
      <x:c r="K11" s="68"/>
      <x:c r="L11" s="68"/>
      <x:c r="M11" s="68"/>
      <x:c r="N11" s="68"/>
    </x:row>
    <x:row r="12" ht="22" customHeight="1">
      <x:c r="A12" s="172" t="str">
        <x:v>ASSUMPTIONS DRAWN FROM INPUTS</x:v>
      </x:c>
      <x:c r="B12" s="173"/>
      <x:c r="C12" s="173"/>
      <x:c r="D12" s="173"/>
      <x:c r="E12" s="173"/>
      <x:c r="F12" s="68"/>
      <x:c r="G12" s="68"/>
      <x:c r="H12" s="68"/>
      <x:c r="I12" s="68"/>
      <x:c r="J12" s="68"/>
      <x:c r="K12" s="68"/>
      <x:c r="L12" s="68"/>
      <x:c r="M12" s="68"/>
      <x:c r="N12" s="68"/>
    </x:row>
    <x:row r="13">
      <x:c r="A13" s="74" t="str">
        <x:v>Modeled businesses</x:v>
      </x:c>
      <x:c r="B13" s="174" t="n">
        <x:f>'Assumptions'!H17</x:f>
        <x:v>1</x:v>
      </x:c>
      <x:c r="C13" s="174" t="n">
        <x:f>'Assumptions'!H18</x:f>
        <x:v>1</x:v>
      </x:c>
      <x:c r="D13" s="174" t="n">
        <x:f>'Assumptions'!H19</x:f>
        <x:v>2</x:v>
      </x:c>
      <x:c r="E13" s="174" t="n">
        <x:f>'Assumptions'!H20</x:f>
        <x:v>5</x:v>
      </x:c>
      <x:c r="F13" s="68"/>
      <x:c r="G13" s="68"/>
      <x:c r="H13" s="68"/>
      <x:c r="I13" s="68"/>
      <x:c r="J13" s="68"/>
      <x:c r="K13" s="68"/>
      <x:c r="L13" s="68"/>
      <x:c r="M13" s="68"/>
      <x:c r="N13" s="68"/>
    </x:row>
    <x:row r="14">
      <x:c r="A14" s="74" t="str">
        <x:v>Coordination users</x:v>
      </x:c>
      <x:c r="B14" s="174" t="n">
        <x:f>'Assumptions'!I17</x:f>
        <x:v>5</x:v>
      </x:c>
      <x:c r="C14" s="174" t="n">
        <x:f>'Assumptions'!I18</x:f>
        <x:v>20</x:v>
      </x:c>
      <x:c r="D14" s="174" t="n">
        <x:f>'Assumptions'!I19</x:f>
        <x:v>6</x:v>
      </x:c>
      <x:c r="E14" s="174" t="n">
        <x:f>'Assumptions'!I20</x:f>
        <x:v>15</x:v>
      </x:c>
      <x:c r="F14" s="68"/>
      <x:c r="G14" s="68"/>
      <x:c r="H14" s="68"/>
      <x:c r="I14" s="68"/>
      <x:c r="J14" s="68"/>
      <x:c r="K14" s="68"/>
      <x:c r="L14" s="68"/>
      <x:c r="M14" s="68"/>
      <x:c r="N14" s="68"/>
    </x:row>
    <x:row r="15">
      <x:c r="A15" s="74" t="str">
        <x:v>Weekly work hours / user</x:v>
      </x:c>
      <x:c r="B15" s="174" t="n">
        <x:f>'Assumptions'!J17</x:f>
        <x:v>55</x:v>
      </x:c>
      <x:c r="C15" s="174" t="n">
        <x:f>'Assumptions'!J18</x:f>
        <x:v>50</x:v>
      </x:c>
      <x:c r="D15" s="174" t="n">
        <x:f>'Assumptions'!J19</x:f>
        <x:v>50</x:v>
      </x:c>
      <x:c r="E15" s="174" t="n">
        <x:f>'Assumptions'!J20</x:f>
        <x:v>50</x:v>
      </x:c>
      <x:c r="F15" s="68"/>
      <x:c r="G15" s="68"/>
      <x:c r="H15" s="68"/>
      <x:c r="I15" s="68"/>
      <x:c r="J15" s="68"/>
      <x:c r="K15" s="68"/>
      <x:c r="L15" s="68"/>
      <x:c r="M15" s="68"/>
      <x:c r="N15" s="68"/>
    </x:row>
    <x:row r="16">
      <x:c r="A16" s="74" t="str">
        <x:v>Loaded hourly cost</x:v>
      </x:c>
      <x:c r="B16" s="175" t="n">
        <x:f>'Assumptions'!K17</x:f>
        <x:v>65</x:v>
      </x:c>
      <x:c r="C16" s="175" t="n">
        <x:f>'Assumptions'!K18</x:f>
        <x:v>65</x:v>
      </x:c>
      <x:c r="D16" s="175" t="n">
        <x:f>'Assumptions'!K19</x:f>
        <x:v>85</x:v>
      </x:c>
      <x:c r="E16" s="175" t="n">
        <x:f>'Assumptions'!K20</x:f>
        <x:v>85</x:v>
      </x:c>
      <x:c r="F16" s="68"/>
      <x:c r="G16" s="68"/>
      <x:c r="H16" s="68"/>
      <x:c r="I16" s="68"/>
      <x:c r="J16" s="68"/>
      <x:c r="K16" s="68"/>
      <x:c r="L16" s="68"/>
      <x:c r="M16" s="68"/>
      <x:c r="N16" s="68"/>
    </x:row>
    <x:row r="17">
      <x:c r="A17" s="74" t="str">
        <x:v>Expected annual growth</x:v>
      </x:c>
      <x:c r="B17" s="176" t="n">
        <x:f>'Assumptions'!L17</x:f>
        <x:v>0.08</x:v>
      </x:c>
      <x:c r="C17" s="176" t="n">
        <x:f>'Assumptions'!L18</x:f>
        <x:v>0.07</x:v>
      </x:c>
      <x:c r="D17" s="176" t="n">
        <x:f>'Assumptions'!L19</x:f>
        <x:v>0.07</x:v>
      </x:c>
      <x:c r="E17" s="176" t="n">
        <x:f>'Assumptions'!L20</x:f>
        <x:v>0.07</x:v>
      </x:c>
      <x:c r="F17" s="68"/>
      <x:c r="G17" s="68"/>
      <x:c r="H17" s="68"/>
      <x:c r="I17" s="68"/>
      <x:c r="J17" s="68"/>
      <x:c r="K17" s="68"/>
      <x:c r="L17" s="68"/>
      <x:c r="M17" s="68"/>
      <x:c r="N17" s="68"/>
    </x:row>
    <x:row r="18">
      <x:c r="A18" s="74" t="str">
        <x:v>Portfolio multiplier</x:v>
      </x:c>
      <x:c r="B18" s="177" t="n">
        <x:f>'Assumptions'!M17</x:f>
        <x:v>1</x:v>
      </x:c>
      <x:c r="C18" s="177" t="n">
        <x:f>'Assumptions'!M18</x:f>
        <x:v>1</x:v>
      </x:c>
      <x:c r="D18" s="177" t="n">
        <x:f>'Assumptions'!M19</x:f>
        <x:v>1.07</x:v>
      </x:c>
      <x:c r="E18" s="177" t="n">
        <x:f>'Assumptions'!M20</x:f>
        <x:v>1.28</x:v>
      </x:c>
      <x:c r="F18" s="68"/>
      <x:c r="G18" s="68"/>
      <x:c r="H18" s="68"/>
      <x:c r="I18" s="68"/>
      <x:c r="J18" s="68"/>
      <x:c r="K18" s="68"/>
      <x:c r="L18" s="68"/>
      <x:c r="M18" s="68"/>
      <x:c r="N18" s="68"/>
    </x:row>
    <x:row r="19">
      <x:c r="A19" s="74" t="str"/>
      <x:c r="B19" s="171"/>
      <x:c r="C19" s="171"/>
      <x:c r="D19" s="171"/>
      <x:c r="E19" s="171"/>
      <x:c r="F19" s="68"/>
      <x:c r="G19" s="68"/>
      <x:c r="H19" s="68"/>
      <x:c r="I19" s="68"/>
      <x:c r="J19" s="68"/>
      <x:c r="K19" s="68"/>
      <x:c r="L19" s="68"/>
      <x:c r="M19" s="68"/>
      <x:c r="N19" s="68"/>
    </x:row>
    <x:row r="20" ht="22" customHeight="1">
      <x:c r="A20" s="178" t="str">
        <x:v>FOUR-YEAR OUTPUTS</x:v>
      </x:c>
      <x:c r="B20" s="179"/>
      <x:c r="C20" s="179"/>
      <x:c r="D20" s="179"/>
      <x:c r="E20" s="179"/>
      <x:c r="F20" s="68"/>
      <x:c r="G20" s="68"/>
      <x:c r="H20" s="68"/>
      <x:c r="I20" s="68"/>
      <x:c r="J20" s="68"/>
      <x:c r="K20" s="68"/>
      <x:c r="L20" s="68"/>
      <x:c r="M20" s="68"/>
      <x:c r="N20" s="68"/>
    </x:row>
    <x:row r="21">
      <x:c r="A21" s="180" t="str">
        <x:v>Modeled value</x:v>
      </x:c>
      <x:c r="B21" s="181" t="n">
        <x:f>SUM('Year by Year'!E5:E8)</x:f>
        <x:v>188479.39968000003</x:v>
      </x:c>
      <x:c r="C21" s="181" t="n">
        <x:f>SUM('Year by Year'!E9:E12)</x:f>
        <x:v>675315.3303</x:v>
      </x:c>
      <x:c r="D21" s="181" t="n">
        <x:f>SUM('Year by Year'!E13:E16)</x:f>
        <x:v>283476.5967267</x:v>
      </x:c>
      <x:c r="E21" s="181" t="n">
        <x:f>SUM('Year by Year'!E17:E20)</x:f>
        <x:v>847780.4761920001</x:v>
      </x:c>
      <x:c r="F21" s="68"/>
      <x:c r="G21" s="68"/>
      <x:c r="H21" s="68"/>
      <x:c r="I21" s="68"/>
      <x:c r="J21" s="68"/>
      <x:c r="K21" s="68"/>
      <x:c r="L21" s="68"/>
      <x:c r="M21" s="68"/>
      <x:c r="N21" s="68"/>
    </x:row>
    <x:row r="22">
      <x:c r="A22" s="180" t="str">
        <x:v>Standard investment</x:v>
      </x:c>
      <x:c r="B22" s="181" t="n">
        <x:f>SUM('Year by Year'!F5:F8)</x:f>
        <x:v>6752</x:v>
      </x:c>
      <x:c r="C22" s="181" t="n">
        <x:f>SUM('Year by Year'!F9:F12)</x:f>
        <x:v>6752</x:v>
      </x:c>
      <x:c r="D22" s="181" t="n">
        <x:f>SUM('Year by Year'!F13:F16)</x:f>
        <x:v>6752</x:v>
      </x:c>
      <x:c r="E22" s="181" t="n">
        <x:f>SUM('Year by Year'!F17:F20)</x:f>
        <x:v>6752</x:v>
      </x:c>
      <x:c r="F22" s="68"/>
      <x:c r="G22" s="68"/>
      <x:c r="H22" s="68"/>
      <x:c r="I22" s="68"/>
      <x:c r="J22" s="68"/>
      <x:c r="K22" s="68"/>
      <x:c r="L22" s="68"/>
      <x:c r="M22" s="68"/>
      <x:c r="N22" s="68"/>
    </x:row>
    <x:row r="23">
      <x:c r="A23" s="180" t="str">
        <x:v>Pre-launch investment</x:v>
      </x:c>
      <x:c r="B23" s="181" t="n">
        <x:f>SUM('Year by Year'!G5:G8)</x:f>
        <x:v>3864</x:v>
      </x:c>
      <x:c r="C23" s="181" t="n">
        <x:f>SUM('Year by Year'!G9:G12)</x:f>
        <x:v>3864</x:v>
      </x:c>
      <x:c r="D23" s="181" t="n">
        <x:f>SUM('Year by Year'!G13:G16)</x:f>
        <x:v>3864</x:v>
      </x:c>
      <x:c r="E23" s="181" t="n">
        <x:f>SUM('Year by Year'!G17:G20)</x:f>
        <x:v>3864</x:v>
      </x:c>
      <x:c r="F23" s="68"/>
      <x:c r="G23" s="68"/>
      <x:c r="H23" s="68"/>
      <x:c r="I23" s="68"/>
      <x:c r="J23" s="68"/>
      <x:c r="K23" s="68"/>
      <x:c r="L23" s="68"/>
      <x:c r="M23" s="68"/>
      <x:c r="N23" s="68"/>
    </x:row>
    <x:row r="24">
      <x:c r="A24" s="180" t="str">
        <x:v>Offer savings</x:v>
      </x:c>
      <x:c r="B24" s="181" t="n">
        <x:f>SUM('Year by Year'!H5:H8)</x:f>
        <x:v>2888</x:v>
      </x:c>
      <x:c r="C24" s="181" t="n">
        <x:f>SUM('Year by Year'!H9:H12)</x:f>
        <x:v>2888</x:v>
      </x:c>
      <x:c r="D24" s="181" t="n">
        <x:f>SUM('Year by Year'!H13:H16)</x:f>
        <x:v>2888</x:v>
      </x:c>
      <x:c r="E24" s="181" t="n">
        <x:f>SUM('Year by Year'!H17:H20)</x:f>
        <x:v>2888</x:v>
      </x:c>
      <x:c r="F24" s="68"/>
      <x:c r="G24" s="68"/>
      <x:c r="H24" s="68"/>
      <x:c r="I24" s="68"/>
      <x:c r="J24" s="68"/>
      <x:c r="K24" s="68"/>
      <x:c r="L24" s="68"/>
      <x:c r="M24" s="68"/>
      <x:c r="N24" s="68"/>
    </x:row>
    <x:row r="25">
      <x:c r="A25" s="182" t="str">
        <x:v>Net return</x:v>
      </x:c>
      <x:c r="B25" s="183" t="n">
        <x:f>SUM('Year by Year'!I5:I8)</x:f>
        <x:v>184615.39968000003</x:v>
      </x:c>
      <x:c r="C25" s="183" t="n">
        <x:f>SUM('Year by Year'!I9:I12)</x:f>
        <x:v>671451.3303</x:v>
      </x:c>
      <x:c r="D25" s="183" t="n">
        <x:f>SUM('Year by Year'!I13:I16)</x:f>
        <x:v>279612.5967267</x:v>
      </x:c>
      <x:c r="E25" s="183" t="n">
        <x:f>SUM('Year by Year'!I17:I20)</x:f>
        <x:v>843916.4761920001</x:v>
      </x:c>
      <x:c r="F25" s="68"/>
      <x:c r="G25" s="68"/>
      <x:c r="H25" s="68"/>
      <x:c r="I25" s="68"/>
      <x:c r="J25" s="68"/>
      <x:c r="K25" s="68"/>
      <x:c r="L25" s="68"/>
      <x:c r="M25" s="68"/>
      <x:c r="N25" s="68"/>
    </x:row>
    <x:row r="26">
      <x:c r="A26" s="184" t="str">
        <x:v>ROI</x:v>
      </x:c>
      <x:c r="B26" s="185" t="n">
        <x:f>IF(B23&gt;0,B25/B23,0)</x:f>
        <x:v>47.77831254658386</x:v>
      </x:c>
      <x:c r="C26" s="185" t="n">
        <x:f>IF(C23&gt;0,C25/C23,0)</x:f>
        <x:v>173.7710482142857</x:v>
      </x:c>
      <x:c r="D26" s="185" t="n">
        <x:f>IF(D23&gt;0,D25/D23,0)</x:f>
        <x:v>72.36350846964287</x:v>
      </x:c>
      <x:c r="E26" s="185" t="n">
        <x:f>IF(E23&gt;0,E25/E23,0)</x:f>
        <x:v>218.40488514285715</x:v>
      </x:c>
      <x:c r="F26" s="68"/>
      <x:c r="G26" s="68"/>
      <x:c r="H26" s="68"/>
      <x:c r="I26" s="68"/>
      <x:c r="J26" s="68"/>
      <x:c r="K26" s="68"/>
      <x:c r="L26" s="68"/>
      <x:c r="M26" s="68"/>
      <x:c r="N26" s="68"/>
    </x:row>
    <x:row r="27">
      <x:c r="A27" s="180" t="str">
        <x:v>Value per $ invested</x:v>
      </x:c>
      <x:c r="B27" s="186" t="n">
        <x:f>IF(B23&gt;0,B21/B23,0)</x:f>
        <x:v>48.77831254658386</x:v>
      </x:c>
      <x:c r="C27" s="186" t="n">
        <x:f>IF(C23&gt;0,C21/C23,0)</x:f>
        <x:v>174.7710482142857</x:v>
      </x:c>
      <x:c r="D27" s="186" t="n">
        <x:f>IF(D23&gt;0,D21/D23,0)</x:f>
        <x:v>73.36350846964287</x:v>
      </x:c>
      <x:c r="E27" s="186" t="n">
        <x:f>IF(E23&gt;0,E21/E23,0)</x:f>
        <x:v>219.40488514285715</x:v>
      </x:c>
      <x:c r="F27" s="68"/>
      <x:c r="G27" s="68"/>
      <x:c r="H27" s="68"/>
      <x:c r="I27" s="68"/>
      <x:c r="J27" s="68"/>
      <x:c r="K27" s="68"/>
      <x:c r="L27" s="68"/>
      <x:c r="M27" s="68"/>
      <x:c r="N27" s="68"/>
    </x:row>
    <x:row r="28">
      <x:c r="A28" s="187" t="str">
        <x:v>Payback period (months)</x:v>
      </x:c>
      <x:c r="B28" s="188" t="n">
        <x:f>IF('Assumptions'!N17&gt;0,'Year by Year'!G5/('Assumptions'!N17/12),0)</x:f>
        <x:v>0.08606777837547068</x:v>
      </x:c>
      <x:c r="C28" s="188" t="n">
        <x:f>IF('Assumptions'!N18&gt;0,'Year by Year'!G9/('Assumptions'!N18/12),0)</x:f>
        <x:v>0.023668639053254437</x:v>
      </x:c>
      <x:c r="D28" s="188" t="n">
        <x:f>IF('Assumptions'!N19&gt;0,'Year by Year'!G13/('Assumptions'!N19/12),0)</x:f>
        <x:v>0.05638488321281065</x:v>
      </x:c>
      <x:c r="E28" s="188" t="n">
        <x:f>IF('Assumptions'!N20&gt;0,'Year by Year'!G17/('Assumptions'!N20/12),0)</x:f>
        <x:v>0.01885369532428356</x:v>
      </x:c>
      <x:c r="F28" s="68"/>
      <x:c r="G28" s="68"/>
      <x:c r="H28" s="68"/>
      <x:c r="I28" s="68"/>
      <x:c r="J28" s="68"/>
      <x:c r="K28" s="68"/>
      <x:c r="L28" s="68"/>
      <x:c r="M28" s="68"/>
      <x:c r="N28" s="68"/>
    </x:row>
    <x:row r="29" ht="28" customHeight="1">
      <x:c r="G29" s="202" t="str">
        <x:v>Representative bands are illustrative management cases. Change blue cells on Assumptions to test a specific prospect.</x:v>
      </x:c>
      <x:c r="H29" s="203" t="str">
        <x:v>Representative bands are illustrative management cases. Change blue cells on Assumptions to test a specific prospect.</x:v>
      </x:c>
      <x:c r="I29" s="203" t="str">
        <x:v>Representative bands are illustrative management cases. Change blue cells on Assumptions to test a specific prospect.</x:v>
      </x:c>
      <x:c r="J29" s="203" t="str">
        <x:v>Representative bands are illustrative management cases. Change blue cells on Assumptions to test a specific prospect.</x:v>
      </x:c>
      <x:c r="K29" s="203" t="str">
        <x:v>Representative bands are illustrative management cases. Change blue cells on Assumptions to test a specific prospect.</x:v>
      </x:c>
      <x:c r="L29" s="203" t="str">
        <x:v>Representative bands are illustrative management cases. Change blue cells on Assumptions to test a specific prospect.</x:v>
      </x:c>
      <x:c r="M29" s="203" t="str">
        <x:v>Representative bands are illustrative management cases. Change blue cells on Assumptions to test a specific prospect.</x:v>
      </x:c>
      <x:c r="N29" s="204" t="str">
        <x:v>Representative bands are illustrative management cases. Change blue cells on Assumptions to test a specific prospect.</x:v>
      </x:c>
    </x:row>
  </x:sheetData>
  <x:mergeCells>
    <x:mergeCell ref="A1:N1"/>
    <x:mergeCell ref="A2:N2"/>
    <x:mergeCell ref="G29:N29"/>
  </x:mergeCells>
  <x:pageMargins left="0.7" right="0.7" top="0.75" bottom="0.75" header="0.3" footer="0.3"/>
  <x:drawing xmlns:r="http://schemas.openxmlformats.org/officeDocument/2006/relationships" r:id="Rc073015b87b8476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9" hidden="0" customWidth="1"/>
  </x:cols>
  <x:sheetData>
    <x:row r="1" ht="34" customHeight="1">
      <x:c r="A1" s="66" t="str">
        <x:v>JasonAI ROI Model — Inputs &amp; Assumptions</x:v>
      </x:c>
      <x:c r="B1" s="66" t="str">
        <x:v>JasonAI ROI Model — Inputs &amp; Assumptions</x:v>
      </x:c>
      <x:c r="C1" s="66" t="str">
        <x:v>JasonAI ROI Model — Inputs &amp; Assumptions</x:v>
      </x:c>
      <x:c r="D1" s="66" t="str">
        <x:v>JasonAI ROI Model — Inputs &amp; Assumptions</x:v>
      </x:c>
      <x:c r="E1" s="66" t="str">
        <x:v>JasonAI ROI Model — Inputs &amp; Assumptions</x:v>
      </x:c>
      <x:c r="F1" s="66" t="str">
        <x:v>JasonAI ROI Model — Inputs &amp; Assumptions</x:v>
      </x:c>
      <x:c r="G1" s="66" t="str">
        <x:v>JasonAI ROI Model — Inputs &amp; Assumptions</x:v>
      </x:c>
      <x:c r="H1" s="66" t="str">
        <x:v>JasonAI ROI Model — Inputs &amp; Assumptions</x:v>
      </x:c>
      <x:c r="I1" s="66" t="str">
        <x:v>JasonAI ROI Model — Inputs &amp; Assumptions</x:v>
      </x:c>
      <x:c r="J1" s="66" t="str">
        <x:v>JasonAI ROI Model — Inputs &amp; Assumptions</x:v>
      </x:c>
      <x:c r="K1" s="66" t="str">
        <x:v>JasonAI ROI Model — Inputs &amp; Assumptions</x:v>
      </x:c>
      <x:c r="L1" s="66" t="str">
        <x:v>JasonAI ROI Model — Inputs &amp; Assumptions</x:v>
      </x:c>
      <x:c r="M1" s="66" t="str">
        <x:v>JasonAI ROI Model — Inputs &amp; Assumptions</x:v>
      </x:c>
      <x:c r="N1" s="66" t="str">
        <x:v>JasonAI ROI Model — Inputs &amp; Assumptions</x:v>
      </x:c>
    </x:row>
    <x:row r="2" ht="30" customHeight="1">
      <x:c r="A2" s="67" t="str">
        <x:v>Blue-font cells are editable. Black cells are formulas. Values reproduce the current JasonAI pricing calculator logic.</x:v>
      </x:c>
      <x:c r="B2" s="67" t="str">
        <x:v>Blue-font cells are editable. Black cells are formulas. Values reproduce the current JasonAI pricing calculator logic.</x:v>
      </x:c>
      <x:c r="C2" s="67" t="str">
        <x:v>Blue-font cells are editable. Black cells are formulas. Values reproduce the current JasonAI pricing calculator logic.</x:v>
      </x:c>
      <x:c r="D2" s="67" t="str">
        <x:v>Blue-font cells are editable. Black cells are formulas. Values reproduce the current JasonAI pricing calculator logic.</x:v>
      </x:c>
      <x:c r="E2" s="67" t="str">
        <x:v>Blue-font cells are editable. Black cells are formulas. Values reproduce the current JasonAI pricing calculator logic.</x:v>
      </x:c>
      <x:c r="F2" s="67" t="str">
        <x:v>Blue-font cells are editable. Black cells are formulas. Values reproduce the current JasonAI pricing calculator logic.</x:v>
      </x:c>
      <x:c r="G2" s="67" t="str">
        <x:v>Blue-font cells are editable. Black cells are formulas. Values reproduce the current JasonAI pricing calculator logic.</x:v>
      </x:c>
      <x:c r="H2" s="67" t="str">
        <x:v>Blue-font cells are editable. Black cells are formulas. Values reproduce the current JasonAI pricing calculator logic.</x:v>
      </x:c>
      <x:c r="I2" s="67" t="str">
        <x:v>Blue-font cells are editable. Black cells are formulas. Values reproduce the current JasonAI pricing calculator logic.</x:v>
      </x:c>
      <x:c r="J2" s="67" t="str">
        <x:v>Blue-font cells are editable. Black cells are formulas. Values reproduce the current JasonAI pricing calculator logic.</x:v>
      </x:c>
      <x:c r="K2" s="67" t="str">
        <x:v>Blue-font cells are editable. Black cells are formulas. Values reproduce the current JasonAI pricing calculator logic.</x:v>
      </x:c>
      <x:c r="L2" s="67" t="str">
        <x:v>Blue-font cells are editable. Black cells are formulas. Values reproduce the current JasonAI pricing calculator logic.</x:v>
      </x:c>
      <x:c r="M2" s="67" t="str">
        <x:v>Blue-font cells are editable. Black cells are formulas. Values reproduce the current JasonAI pricing calculator logic.</x:v>
      </x:c>
      <x:c r="N2" s="67" t="str">
        <x:v>Blue-font cells are editable. Black cells are formulas. Values reproduce the current JasonAI pricing calculator logic.</x:v>
      </x:c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</x:row>
    <x:row r="4" ht="22" customHeight="1">
      <x:c r="A4" s="69" t="str">
        <x:v>GLOBAL MODEL ASSUMPTIONS</x:v>
      </x:c>
      <x:c r="B4" s="69" t="str">
        <x:v>GLOBAL MODEL ASSUMPTIONS</x:v>
      </x:c>
      <x:c r="C4" s="69" t="str">
        <x:v>GLOBAL MODEL ASSUMPTIONS</x:v>
      </x:c>
      <x:c r="D4" s="68"/>
      <x:c r="E4" s="68"/>
      <x:c r="F4" s="68"/>
      <x:c r="G4" s="68"/>
      <x:c r="H4" s="68"/>
      <x:c r="I4" s="68"/>
      <x:c r="J4" s="68"/>
      <x:c r="K4" s="68"/>
      <x:c r="L4" s="68"/>
      <x:c r="M4" s="68"/>
      <x:c r="N4" s="68"/>
    </x:row>
    <x:row r="5" ht="30" customHeight="1">
      <x:c r="A5" s="70" t="str">
        <x:v>Assumption</x:v>
      </x:c>
      <x:c r="B5" s="70" t="str">
        <x:v>Value</x:v>
      </x:c>
      <x:c r="C5" s="70" t="str">
        <x:v>Notes</x:v>
      </x:c>
      <x:c r="D5" s="68"/>
      <x:c r="E5" s="68"/>
      <x:c r="F5" s="68"/>
      <x:c r="G5" s="68"/>
      <x:c r="H5" s="68"/>
      <x:c r="I5" s="68"/>
      <x:c r="J5" s="68"/>
      <x:c r="K5" s="68"/>
      <x:c r="L5" s="68"/>
      <x:c r="M5" s="68"/>
      <x:c r="N5" s="68"/>
    </x:row>
    <x:row r="6">
      <x:c r="A6" s="71" t="str">
        <x:v>Communication time share</x:v>
      </x:c>
      <x:c r="B6" s="72" t="n">
        <x:v>0.15</x:v>
      </x:c>
      <x:c r="C6" s="73" t="str">
        <x:v>Share of each coordination user's weekly work tied to search and recap.</x:v>
      </x:c>
      <x:c r="D6" s="68"/>
      <x:c r="E6" s="68"/>
      <x:c r="F6" s="68"/>
      <x:c r="G6" s="68"/>
      <x:c r="H6" s="68"/>
      <x:c r="I6" s="68"/>
      <x:c r="J6" s="68"/>
      <x:c r="K6" s="68"/>
      <x:c r="L6" s="68"/>
      <x:c r="M6" s="68"/>
      <x:c r="N6" s="68"/>
    </x:row>
    <x:row r="7">
      <x:c r="A7" s="74" t="str">
        <x:v>Time recovery rate</x:v>
      </x:c>
      <x:c r="B7" s="75" t="n">
        <x:v>0.3</x:v>
      </x:c>
      <x:c r="C7" s="76" t="str">
        <x:v>Share of communication time modeled as recoverable with JasonAI.</x:v>
      </x:c>
      <x:c r="D7" s="68"/>
      <x:c r="E7" s="68"/>
      <x:c r="F7" s="68"/>
      <x:c r="G7" s="68"/>
      <x:c r="H7" s="68"/>
      <x:c r="I7" s="68"/>
      <x:c r="J7" s="68"/>
      <x:c r="K7" s="68"/>
      <x:c r="L7" s="68"/>
      <x:c r="M7" s="68"/>
      <x:c r="N7" s="68"/>
    </x:row>
    <x:row r="8">
      <x:c r="A8" s="74" t="str">
        <x:v>Weeks per year</x:v>
      </x:c>
      <x:c r="B8" s="77" t="n">
        <x:v>52</x:v>
      </x:c>
      <x:c r="C8" s="76" t="str">
        <x:v>Annualization convention.</x:v>
      </x:c>
      <x:c r="D8" s="68"/>
      <x:c r="E8" s="68"/>
      <x:c r="F8" s="68"/>
      <x:c r="G8" s="68"/>
      <x:c r="H8" s="68"/>
      <x:c r="I8" s="68"/>
      <x:c r="J8" s="68"/>
      <x:c r="K8" s="68"/>
      <x:c r="L8" s="68"/>
      <x:c r="M8" s="68"/>
      <x:c r="N8" s="68"/>
    </x:row>
    <x:row r="9">
      <x:c r="A9" s="74" t="str">
        <x:v>Standard monthly price</x:v>
      </x:c>
      <x:c r="B9" s="78" t="n">
        <x:v>99</x:v>
      </x:c>
      <x:c r="C9" s="76" t="str">
        <x:v>JasonAI standard monthly subscription.</x:v>
      </x:c>
      <x:c r="D9" s="68"/>
      <x:c r="E9" s="68"/>
      <x:c r="F9" s="68"/>
      <x:c r="G9" s="68"/>
      <x:c r="H9" s="68"/>
      <x:c r="I9" s="68"/>
      <x:c r="J9" s="68"/>
      <x:c r="K9" s="68"/>
      <x:c r="L9" s="68"/>
      <x:c r="M9" s="68"/>
      <x:c r="N9" s="68"/>
    </x:row>
    <x:row r="10">
      <x:c r="A10" s="74" t="str">
        <x:v>Pre-launch monthly price</x:v>
      </x:c>
      <x:c r="B10" s="78" t="n">
        <x:v>25</x:v>
      </x:c>
      <x:c r="C10" s="76" t="str">
        <x:v>First-year pre-launch monthly subscription.</x:v>
      </x:c>
      <x:c r="D10" s="68"/>
      <x:c r="E10" s="68"/>
      <x:c r="F10" s="68"/>
      <x:c r="G10" s="68"/>
      <x:c r="H10" s="68"/>
      <x:c r="I10" s="68"/>
      <x:c r="J10" s="68"/>
      <x:c r="K10" s="68"/>
      <x:c r="L10" s="68"/>
      <x:c r="M10" s="68"/>
      <x:c r="N10" s="68"/>
    </x:row>
    <x:row r="11">
      <x:c r="A11" s="74" t="str">
        <x:v>Standard setup fee</x:v>
      </x:c>
      <x:c r="B11" s="78" t="n">
        <x:v>2000</x:v>
      </x:c>
      <x:c r="C11" s="76" t="str">
        <x:v>One-time fee under standard pricing.</x:v>
      </x:c>
      <x:c r="D11" s="68"/>
      <x:c r="E11" s="68"/>
      <x:c r="F11" s="68"/>
      <x:c r="G11" s="68"/>
      <x:c r="H11" s="68"/>
      <x:c r="I11" s="68"/>
      <x:c r="J11" s="68"/>
      <x:c r="K11" s="68"/>
      <x:c r="L11" s="68"/>
      <x:c r="M11" s="68"/>
      <x:c r="N11" s="68"/>
    </x:row>
    <x:row r="12">
      <x:c r="A12" s="74" t="str">
        <x:v>Pre-launch setup fee</x:v>
      </x:c>
      <x:c r="B12" s="79" t="n">
        <x:v>0</x:v>
      </x:c>
      <x:c r="C12" s="76" t="str">
        <x:v>Setup fee removed for pre-launch subscribers.</x:v>
      </x:c>
      <x:c r="D12" s="68"/>
      <x:c r="E12" s="68"/>
      <x:c r="F12" s="68"/>
      <x:c r="G12" s="68"/>
      <x:c r="H12" s="68"/>
      <x:c r="I12" s="68"/>
      <x:c r="J12" s="68"/>
      <x:c r="K12" s="68"/>
      <x:c r="L12" s="68"/>
      <x:c r="M12" s="68"/>
      <x:c r="N12" s="68"/>
    </x:row>
    <x:row r="13">
      <x:c r="A13" s="80" t="str">
        <x:v>Projection years</x:v>
      </x:c>
      <x:c r="B13" s="81" t="n">
        <x:v>4</x:v>
      </x:c>
      <x:c r="C13" s="82" t="str">
        <x:v>Current calculator projection horizon.</x:v>
      </x:c>
      <x:c r="D13" s="68"/>
      <x:c r="E13" s="68"/>
      <x:c r="F13" s="68"/>
      <x:c r="G13" s="68"/>
      <x:c r="H13" s="68"/>
      <x:c r="I13" s="68"/>
      <x:c r="J13" s="68"/>
      <x:c r="K13" s="68"/>
      <x:c r="L13" s="68"/>
      <x:c r="M13" s="68"/>
      <x:c r="N13" s="68"/>
    </x:row>
    <x:row r="14">
      <x:c r="A14" s="68"/>
      <x:c r="B14" s="68"/>
      <x:c r="C14" s="68"/>
      <x:c r="D14" s="68"/>
      <x:c r="E14" s="68"/>
      <x:c r="F14" s="68"/>
      <x:c r="G14" s="68"/>
      <x:c r="H14" s="68"/>
      <x:c r="I14" s="68"/>
      <x:c r="J14" s="68"/>
      <x:c r="K14" s="68"/>
      <x:c r="L14" s="68"/>
      <x:c r="M14" s="68"/>
      <x:c r="N14" s="68"/>
    </x:row>
    <x:row r="15" ht="22" customHeight="1">
      <x:c r="A15" s="69" t="str">
        <x:v>REPRESENTATIVE BUSINESS BANDS</x:v>
      </x:c>
      <x:c r="B15" s="69" t="str">
        <x:v>REPRESENTATIVE BUSINESS BANDS</x:v>
      </x:c>
      <x:c r="C15" s="69" t="str">
        <x:v>REPRESENTATIVE BUSINESS BANDS</x:v>
      </x:c>
      <x:c r="D15" s="69" t="str">
        <x:v>REPRESENTATIVE BUSINESS BANDS</x:v>
      </x:c>
      <x:c r="E15" s="69" t="str">
        <x:v>REPRESENTATIVE BUSINESS BANDS</x:v>
      </x:c>
      <x:c r="F15" s="69" t="str">
        <x:v>REPRESENTATIVE BUSINESS BANDS</x:v>
      </x:c>
      <x:c r="G15" s="69" t="str">
        <x:v>REPRESENTATIVE BUSINESS BANDS</x:v>
      </x:c>
      <x:c r="H15" s="69" t="str">
        <x:v>REPRESENTATIVE BUSINESS BANDS</x:v>
      </x:c>
      <x:c r="I15" s="69" t="str">
        <x:v>REPRESENTATIVE BUSINESS BANDS</x:v>
      </x:c>
      <x:c r="J15" s="69" t="str">
        <x:v>REPRESENTATIVE BUSINESS BANDS</x:v>
      </x:c>
      <x:c r="K15" s="69" t="str">
        <x:v>REPRESENTATIVE BUSINESS BANDS</x:v>
      </x:c>
      <x:c r="L15" s="69" t="str">
        <x:v>REPRESENTATIVE BUSINESS BANDS</x:v>
      </x:c>
      <x:c r="M15" s="69" t="str">
        <x:v>REPRESENTATIVE BUSINESS BANDS</x:v>
      </x:c>
      <x:c r="N15" s="69" t="str">
        <x:v>REPRESENTATIVE BUSINESS BANDS</x:v>
      </x:c>
    </x:row>
    <x:row r="16" ht="30" customHeight="1">
      <x:c r="A16" s="70" t="str">
        <x:v>Band</x:v>
      </x:c>
      <x:c r="B16" s="70" t="str">
        <x:v>Business Type</x:v>
      </x:c>
      <x:c r="C16" s="70" t="str">
        <x:v>Employees</x:v>
      </x:c>
      <x:c r="D16" s="70" t="str">
        <x:v>Active Projects</x:v>
      </x:c>
      <x:c r="E16" s="70" t="str">
        <x:v>Avg. Project Weeks</x:v>
      </x:c>
      <x:c r="F16" s="70" t="str">
        <x:v>Coordination Share</x:v>
      </x:c>
      <x:c r="G16" s="70" t="str">
        <x:v>Project Load</x:v>
      </x:c>
      <x:c r="H16" s="70" t="str">
        <x:v>Modeled Businesses</x:v>
      </x:c>
      <x:c r="I16" s="70" t="str">
        <x:v>Coordination Users</x:v>
      </x:c>
      <x:c r="J16" s="70" t="str">
        <x:v>Weekly Hours / User</x:v>
      </x:c>
      <x:c r="K16" s="70" t="str">
        <x:v>Loaded Hourly Cost</x:v>
      </x:c>
      <x:c r="L16" s="70" t="str">
        <x:v>Annual Growth</x:v>
      </x:c>
      <x:c r="M16" s="70" t="str">
        <x:v>Portfolio Multiplier</x:v>
      </x:c>
      <x:c r="N16" s="70" t="str">
        <x:v>Year 1 Modeled Value</x:v>
      </x:c>
    </x:row>
    <x:row r="17">
      <x:c r="A17" s="71" t="str">
        <x:v>Small General Contractor</x:v>
      </x:c>
      <x:c r="B17" s="83" t="str">
        <x:v>General Contractor</x:v>
      </x:c>
      <x:c r="C17" s="84" t="n">
        <x:v>12</x:v>
      </x:c>
      <x:c r="D17" s="84" t="n">
        <x:v>6</x:v>
      </x:c>
      <x:c r="E17" s="84" t="n">
        <x:v>16</x:v>
      </x:c>
      <x:c r="F17" s="85" t="n">
        <x:f>IF(B17="Contracting Firm",25%,35%)</x:f>
        <x:v>0.35</x:v>
      </x:c>
      <x:c r="G17" s="86" t="n">
        <x:f>D17/MAX(1,C17)</x:f>
        <x:v>0.5</x:v>
      </x:c>
      <x:c r="H17" s="87" t="n">
        <x:f>IF(B17="Contracting Firm",MAX(2,MIN(12,ROUND(D17/4,0))),1)</x:f>
        <x:v>1</x:v>
      </x:c>
      <x:c r="I17" s="87" t="n">
        <x:f>MAX(1,MIN(100,ROUND(C17*F17+MIN(4,D17/10),0)))</x:f>
        <x:v>5</x:v>
      </x:c>
      <x:c r="J17" s="87" t="n">
        <x:f>MAX(35,MIN(60,ROUND((38+MIN(20,G17*30))/5,0)*5))</x:f>
        <x:v>55</x:v>
      </x:c>
      <x:c r="K17" s="88" t="n">
        <x:f>IF(B17="Contracting Firm",85,65)</x:f>
        <x:v>65</x:v>
      </x:c>
      <x:c r="L17" s="85" t="n">
        <x:f>MAX(0,MIN(20,ROUND(4+MIN(8,G17*5+26/E17),0)))/100</x:f>
        <x:v>0.08</x:v>
      </x:c>
      <x:c r="M17" s="89" t="n">
        <x:f>IF(B17="Contracting Firm",1+MIN(45%,MAX(0,H17-1)*7%),1)</x:f>
        <x:v>1</x:v>
      </x:c>
      <x:c r="N17" s="88" t="n">
        <x:f>I17*J17*$B$6*$B$8*K17*$B$7*M17</x:f>
        <x:v>41827.5</x:v>
      </x:c>
    </x:row>
    <x:row r="18">
      <x:c r="A18" s="74" t="str">
        <x:v>Midsize General Contractor</x:v>
      </x:c>
      <x:c r="B18" s="90" t="str">
        <x:v>General Contractor</x:v>
      </x:c>
      <x:c r="C18" s="91" t="n">
        <x:v>50</x:v>
      </x:c>
      <x:c r="D18" s="91" t="n">
        <x:v>20</x:v>
      </x:c>
      <x:c r="E18" s="91" t="n">
        <x:v>20</x:v>
      </x:c>
      <x:c r="F18" s="92" t="n">
        <x:f>IF(B18="Contracting Firm",25%,35%)</x:f>
        <x:v>0.35</x:v>
      </x:c>
      <x:c r="G18" s="93" t="n">
        <x:f>D18/MAX(1,C18)</x:f>
        <x:v>0.4</x:v>
      </x:c>
      <x:c r="H18" s="94" t="n">
        <x:f>IF(B18="Contracting Firm",MAX(2,MIN(12,ROUND(D18/4,0))),1)</x:f>
        <x:v>1</x:v>
      </x:c>
      <x:c r="I18" s="94" t="n">
        <x:f>MAX(1,MIN(100,ROUND(C18*F18+MIN(4,D18/10),0)))</x:f>
        <x:v>20</x:v>
      </x:c>
      <x:c r="J18" s="94" t="n">
        <x:f>MAX(35,MIN(60,ROUND((38+MIN(20,G18*30))/5,0)*5))</x:f>
        <x:v>50</x:v>
      </x:c>
      <x:c r="K18" s="95" t="n">
        <x:f>IF(B18="Contracting Firm",85,65)</x:f>
        <x:v>65</x:v>
      </x:c>
      <x:c r="L18" s="92" t="n">
        <x:f>MAX(0,MIN(20,ROUND(4+MIN(8,G18*5+26/E18),0)))/100</x:f>
        <x:v>0.07</x:v>
      </x:c>
      <x:c r="M18" s="96" t="n">
        <x:f>IF(B18="Contracting Firm",1+MIN(45%,MAX(0,H18-1)*7%),1)</x:f>
        <x:v>1</x:v>
      </x:c>
      <x:c r="N18" s="95" t="n">
        <x:f>I18*J18*$B$6*$B$8*K18*$B$7*M18</x:f>
        <x:v>152100</x:v>
      </x:c>
    </x:row>
    <x:row r="19">
      <x:c r="A19" s="74" t="str">
        <x:v>Startup Contracting Firm</x:v>
      </x:c>
      <x:c r="B19" s="90" t="str">
        <x:v>Contracting Firm</x:v>
      </x:c>
      <x:c r="C19" s="91" t="n">
        <x:v>20</x:v>
      </x:c>
      <x:c r="D19" s="91" t="n">
        <x:v>8</x:v>
      </x:c>
      <x:c r="E19" s="91" t="n">
        <x:v>18</x:v>
      </x:c>
      <x:c r="F19" s="92" t="n">
        <x:f>IF(B19="Contracting Firm",25%,35%)</x:f>
        <x:v>0.25</x:v>
      </x:c>
      <x:c r="G19" s="93" t="n">
        <x:f>D19/MAX(1,C19)</x:f>
        <x:v>0.4</x:v>
      </x:c>
      <x:c r="H19" s="94" t="n">
        <x:f>IF(B19="Contracting Firm",MAX(2,MIN(12,ROUND(D19/4,0))),1)</x:f>
        <x:v>2</x:v>
      </x:c>
      <x:c r="I19" s="94" t="n">
        <x:f>MAX(1,MIN(100,ROUND(C19*F19+MIN(4,D19/10),0)))</x:f>
        <x:v>6</x:v>
      </x:c>
      <x:c r="J19" s="94" t="n">
        <x:f>MAX(35,MIN(60,ROUND((38+MIN(20,G19*30))/5,0)*5))</x:f>
        <x:v>50</x:v>
      </x:c>
      <x:c r="K19" s="95" t="n">
        <x:f>IF(B19="Contracting Firm",85,65)</x:f>
        <x:v>85</x:v>
      </x:c>
      <x:c r="L19" s="92" t="n">
        <x:f>MAX(0,MIN(20,ROUND(4+MIN(8,G19*5+26/E19),0)))/100</x:f>
        <x:v>0.07</x:v>
      </x:c>
      <x:c r="M19" s="96" t="n">
        <x:f>IF(B19="Contracting Firm",1+MIN(45%,MAX(0,H19-1)*7%),1)</x:f>
        <x:v>1.07</x:v>
      </x:c>
      <x:c r="N19" s="95" t="n">
        <x:f>I19*J19*$B$6*$B$8*K19*$B$7*M19</x:f>
        <x:v>63846.9</x:v>
      </x:c>
    </x:row>
    <x:row r="20">
      <x:c r="A20" s="80" t="str">
        <x:v>Scaling Contracting Firm</x:v>
      </x:c>
      <x:c r="B20" s="97" t="str">
        <x:v>Contracting Firm</x:v>
      </x:c>
      <x:c r="C20" s="98" t="n">
        <x:v>50</x:v>
      </x:c>
      <x:c r="D20" s="98" t="n">
        <x:v>20</x:v>
      </x:c>
      <x:c r="E20" s="98" t="n">
        <x:v>20</x:v>
      </x:c>
      <x:c r="F20" s="99" t="n">
        <x:f>IF(B20="Contracting Firm",25%,35%)</x:f>
        <x:v>0.25</x:v>
      </x:c>
      <x:c r="G20" s="100" t="n">
        <x:f>D20/MAX(1,C20)</x:f>
        <x:v>0.4</x:v>
      </x:c>
      <x:c r="H20" s="101" t="n">
        <x:f>IF(B20="Contracting Firm",MAX(2,MIN(12,ROUND(D20/4,0))),1)</x:f>
        <x:v>5</x:v>
      </x:c>
      <x:c r="I20" s="101" t="n">
        <x:f>MAX(1,MIN(100,ROUND(C20*F20+MIN(4,D20/10),0)))</x:f>
        <x:v>15</x:v>
      </x:c>
      <x:c r="J20" s="101" t="n">
        <x:f>MAX(35,MIN(60,ROUND((38+MIN(20,G20*30))/5,0)*5))</x:f>
        <x:v>50</x:v>
      </x:c>
      <x:c r="K20" s="102" t="n">
        <x:f>IF(B20="Contracting Firm",85,65)</x:f>
        <x:v>85</x:v>
      </x:c>
      <x:c r="L20" s="99" t="n">
        <x:f>MAX(0,MIN(20,ROUND(4+MIN(8,G20*5+26/E20),0)))/100</x:f>
        <x:v>0.07</x:v>
      </x:c>
      <x:c r="M20" s="103" t="n">
        <x:f>IF(B20="Contracting Firm",1+MIN(45%,MAX(0,H20-1)*7%),1)</x:f>
        <x:v>1.28</x:v>
      </x:c>
      <x:c r="N20" s="102" t="n">
        <x:f>I20*J20*$B$6*$B$8*K20*$B$7*M20</x:f>
        <x:v>190944</x:v>
      </x:c>
    </x:row>
  </x:sheetData>
  <x:mergeCells>
    <x:mergeCell ref="A1:N1"/>
    <x:mergeCell ref="A2:N2"/>
    <x:mergeCell ref="A4:C4"/>
    <x:mergeCell ref="A15:N15"/>
  </x:mergeCells>
  <x:dataValidations count="4">
    <x:dataValidation type="list" sqref="B17:B20">
      <x:formula1>"General Contractor,Contracting Firm"</x:formula1>
    </x:dataValidation>
    <x:dataValidation type="whole" operator="between" sqref="C17:C20">
      <x:formula1>1</x:formula1>
      <x:formula2>500</x:formula2>
    </x:dataValidation>
    <x:dataValidation type="whole" operator="between" sqref="D17:D20">
      <x:formula1>1</x:formula1>
      <x:formula2>250</x:formula2>
    </x:dataValidation>
    <x:dataValidation type="whole" operator="between" sqref="E17:E20">
      <x:formula1>1</x:formula1>
      <x:formula2>104</x:formula2>
    </x:dataValidation>
  </x:dataValidations>
  <x:pageMargins left="0.7" right="0.7" top="0.75" bottom="0.75" header="0.3" footer="0.3"/>
  <x:legacyDrawing xmlns:r="http://schemas.openxmlformats.org/officeDocument/2006/relationships" r:id="Ra16dd42416b7402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3" hidden="0" customWidth="1"/>
    <x:col min="4" max="4" width="1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4" customHeight="1">
      <x:c r="A1" s="66" t="str">
        <x:v>JasonAI ROI Model — Year-by-Year Output</x:v>
      </x:c>
      <x:c r="B1" s="66" t="str">
        <x:v>JasonAI ROI Model — Year-by-Year Output</x:v>
      </x:c>
      <x:c r="C1" s="66" t="str">
        <x:v>JasonAI ROI Model — Year-by-Year Output</x:v>
      </x:c>
      <x:c r="D1" s="66" t="str">
        <x:v>JasonAI ROI Model — Year-by-Year Output</x:v>
      </x:c>
      <x:c r="E1" s="66" t="str">
        <x:v>JasonAI ROI Model — Year-by-Year Output</x:v>
      </x:c>
      <x:c r="F1" s="66" t="str">
        <x:v>JasonAI ROI Model — Year-by-Year Output</x:v>
      </x:c>
      <x:c r="G1" s="66" t="str">
        <x:v>JasonAI ROI Model — Year-by-Year Output</x:v>
      </x:c>
      <x:c r="H1" s="66" t="str">
        <x:v>JasonAI ROI Model — Year-by-Year Output</x:v>
      </x:c>
      <x:c r="I1" s="66" t="str">
        <x:v>JasonAI ROI Model — Year-by-Year Output</x:v>
      </x:c>
    </x:row>
    <x:row r="2" ht="30" customHeight="1">
      <x:c r="A2" s="67" t="str">
        <x:v>All values are formula-driven from the Assumptions sheet. Year 1 reflects the pre-launch offer; Years 2–4 use standard monthly pricing.</x:v>
      </x:c>
      <x:c r="B2" s="67" t="str">
        <x:v>All values are formula-driven from the Assumptions sheet. Year 1 reflects the pre-launch offer; Years 2–4 use standard monthly pricing.</x:v>
      </x:c>
      <x:c r="C2" s="67" t="str">
        <x:v>All values are formula-driven from the Assumptions sheet. Year 1 reflects the pre-launch offer; Years 2–4 use standard monthly pricing.</x:v>
      </x:c>
      <x:c r="D2" s="67" t="str">
        <x:v>All values are formula-driven from the Assumptions sheet. Year 1 reflects the pre-launch offer; Years 2–4 use standard monthly pricing.</x:v>
      </x:c>
      <x:c r="E2" s="67" t="str">
        <x:v>All values are formula-driven from the Assumptions sheet. Year 1 reflects the pre-launch offer; Years 2–4 use standard monthly pricing.</x:v>
      </x:c>
      <x:c r="F2" s="67" t="str">
        <x:v>All values are formula-driven from the Assumptions sheet. Year 1 reflects the pre-launch offer; Years 2–4 use standard monthly pricing.</x:v>
      </x:c>
      <x:c r="G2" s="67" t="str">
        <x:v>All values are formula-driven from the Assumptions sheet. Year 1 reflects the pre-launch offer; Years 2–4 use standard monthly pricing.</x:v>
      </x:c>
      <x:c r="H2" s="67" t="str">
        <x:v>All values are formula-driven from the Assumptions sheet. Year 1 reflects the pre-launch offer; Years 2–4 use standard monthly pricing.</x:v>
      </x:c>
      <x:c r="I2" s="67" t="str">
        <x:v>All values are formula-driven from the Assumptions sheet. Year 1 reflects the pre-launch offer; Years 2–4 use standard monthly pricing.</x:v>
      </x:c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</x:row>
    <x:row r="4" ht="30" customHeight="1">
      <x:c r="A4" s="70" t="str">
        <x:v>Band</x:v>
      </x:c>
      <x:c r="B4" s="70" t="str">
        <x:v>Business Type</x:v>
      </x:c>
      <x:c r="C4" s="70" t="str">
        <x:v>Year</x:v>
      </x:c>
      <x:c r="D4" s="70" t="str">
        <x:v>Growth Factor</x:v>
      </x:c>
      <x:c r="E4" s="70" t="str">
        <x:v>Modeled Value</x:v>
      </x:c>
      <x:c r="F4" s="70" t="str">
        <x:v>Standard Investment</x:v>
      </x:c>
      <x:c r="G4" s="70" t="str">
        <x:v>Offer Investment</x:v>
      </x:c>
      <x:c r="H4" s="70" t="str">
        <x:v>Offer Savings</x:v>
      </x:c>
      <x:c r="I4" s="70" t="str">
        <x:v>Net Return</x:v>
      </x:c>
    </x:row>
    <x:row r="5">
      <x:c r="A5" s="122" t="str">
        <x:v>Small General Contractor</x:v>
      </x:c>
      <x:c r="B5" s="122" t="str">
        <x:v>General Contractor</x:v>
      </x:c>
      <x:c r="C5" s="122" t="n">
        <x:v>1</x:v>
      </x:c>
      <x:c r="D5" s="123" t="n">
        <x:f>(1+'Assumptions'!$L$17)^(C5-1)</x:f>
        <x:v>1</x:v>
      </x:c>
      <x:c r="E5" s="124" t="n">
        <x:f>'Assumptions'!$N$17*D5</x:f>
        <x:v>41827.5</x:v>
      </x:c>
      <x:c r="F5" s="124" t="n">
        <x:f>IF(C5=1,'Assumptions'!$B$9*12+'Assumptions'!$B$11,'Assumptions'!$B$9*12)</x:f>
        <x:v>3188</x:v>
      </x:c>
      <x:c r="G5" s="124" t="n">
        <x:f>IF(C5=1,'Assumptions'!$B$10*12+'Assumptions'!$B$12,'Assumptions'!$B$9*12)</x:f>
        <x:v>300</x:v>
      </x:c>
      <x:c r="H5" s="124" t="n">
        <x:f>F5-G5</x:f>
        <x:v>2888</x:v>
      </x:c>
      <x:c r="I5" s="124" t="n">
        <x:f>E5-G5</x:f>
        <x:v>41527.5</x:v>
      </x:c>
    </x:row>
    <x:row r="6">
      <x:c r="A6" s="125" t="str">
        <x:v>Small General Contractor</x:v>
      </x:c>
      <x:c r="B6" s="125" t="str">
        <x:v>General Contractor</x:v>
      </x:c>
      <x:c r="C6" s="125" t="n">
        <x:v>2</x:v>
      </x:c>
      <x:c r="D6" s="126" t="n">
        <x:f>(1+'Assumptions'!$L$17)^(C6-1)</x:f>
        <x:v>1.08</x:v>
      </x:c>
      <x:c r="E6" s="127" t="n">
        <x:f>'Assumptions'!$N$17*D6</x:f>
        <x:v>45173.700000000004</x:v>
      </x:c>
      <x:c r="F6" s="127" t="n">
        <x:f>IF(C6=1,'Assumptions'!$B$9*12+'Assumptions'!$B$11,'Assumptions'!$B$9*12)</x:f>
        <x:v>1188</x:v>
      </x:c>
      <x:c r="G6" s="127" t="n">
        <x:f>IF(C6=1,'Assumptions'!$B$10*12+'Assumptions'!$B$12,'Assumptions'!$B$9*12)</x:f>
        <x:v>1188</x:v>
      </x:c>
      <x:c r="H6" s="127" t="n">
        <x:f>F6-G6</x:f>
        <x:v>0</x:v>
      </x:c>
      <x:c r="I6" s="127" t="n">
        <x:f>E6-G6</x:f>
        <x:v>43985.700000000004</x:v>
      </x:c>
    </x:row>
    <x:row r="7">
      <x:c r="A7" s="125" t="str">
        <x:v>Small General Contractor</x:v>
      </x:c>
      <x:c r="B7" s="125" t="str">
        <x:v>General Contractor</x:v>
      </x:c>
      <x:c r="C7" s="125" t="n">
        <x:v>3</x:v>
      </x:c>
      <x:c r="D7" s="126" t="n">
        <x:f>(1+'Assumptions'!$L$17)^(C7-1)</x:f>
        <x:v>1.1664</x:v>
      </x:c>
      <x:c r="E7" s="127" t="n">
        <x:f>'Assumptions'!$N$17*D7</x:f>
        <x:v>48787.596000000005</x:v>
      </x:c>
      <x:c r="F7" s="127" t="n">
        <x:f>IF(C7=1,'Assumptions'!$B$9*12+'Assumptions'!$B$11,'Assumptions'!$B$9*12)</x:f>
        <x:v>1188</x:v>
      </x:c>
      <x:c r="G7" s="127" t="n">
        <x:f>IF(C7=1,'Assumptions'!$B$10*12+'Assumptions'!$B$12,'Assumptions'!$B$9*12)</x:f>
        <x:v>1188</x:v>
      </x:c>
      <x:c r="H7" s="127" t="n">
        <x:f>F7-G7</x:f>
        <x:v>0</x:v>
      </x:c>
      <x:c r="I7" s="127" t="n">
        <x:f>E7-G7</x:f>
        <x:v>47599.596000000005</x:v>
      </x:c>
    </x:row>
    <x:row r="8">
      <x:c r="A8" s="125" t="str">
        <x:v>Small General Contractor</x:v>
      </x:c>
      <x:c r="B8" s="125" t="str">
        <x:v>General Contractor</x:v>
      </x:c>
      <x:c r="C8" s="125" t="n">
        <x:v>4</x:v>
      </x:c>
      <x:c r="D8" s="126" t="n">
        <x:f>(1+'Assumptions'!$L$17)^(C8-1)</x:f>
        <x:v>1.2597120000000002</x:v>
      </x:c>
      <x:c r="E8" s="127" t="n">
        <x:f>'Assumptions'!$N$17*D8</x:f>
        <x:v>52690.60368000001</x:v>
      </x:c>
      <x:c r="F8" s="127" t="n">
        <x:f>IF(C8=1,'Assumptions'!$B$9*12+'Assumptions'!$B$11,'Assumptions'!$B$9*12)</x:f>
        <x:v>1188</x:v>
      </x:c>
      <x:c r="G8" s="127" t="n">
        <x:f>IF(C8=1,'Assumptions'!$B$10*12+'Assumptions'!$B$12,'Assumptions'!$B$9*12)</x:f>
        <x:v>1188</x:v>
      </x:c>
      <x:c r="H8" s="127" t="n">
        <x:f>F8-G8</x:f>
        <x:v>0</x:v>
      </x:c>
      <x:c r="I8" s="127" t="n">
        <x:f>E8-G8</x:f>
        <x:v>51502.60368000001</x:v>
      </x:c>
    </x:row>
    <x:row r="9">
      <x:c r="A9" s="128" t="str">
        <x:v>Midsize General Contractor</x:v>
      </x:c>
      <x:c r="B9" s="128" t="str">
        <x:v>General Contractor</x:v>
      </x:c>
      <x:c r="C9" s="128" t="n">
        <x:v>1</x:v>
      </x:c>
      <x:c r="D9" s="129" t="n">
        <x:f>(1+'Assumptions'!$L$18)^(C9-1)</x:f>
        <x:v>1</x:v>
      </x:c>
      <x:c r="E9" s="130" t="n">
        <x:f>'Assumptions'!$N$18*D9</x:f>
        <x:v>152100</x:v>
      </x:c>
      <x:c r="F9" s="130" t="n">
        <x:f>IF(C9=1,'Assumptions'!$B$9*12+'Assumptions'!$B$11,'Assumptions'!$B$9*12)</x:f>
        <x:v>3188</x:v>
      </x:c>
      <x:c r="G9" s="130" t="n">
        <x:f>IF(C9=1,'Assumptions'!$B$10*12+'Assumptions'!$B$12,'Assumptions'!$B$9*12)</x:f>
        <x:v>300</x:v>
      </x:c>
      <x:c r="H9" s="130" t="n">
        <x:f>F9-G9</x:f>
        <x:v>2888</x:v>
      </x:c>
      <x:c r="I9" s="130" t="n">
        <x:f>E9-G9</x:f>
        <x:v>151800</x:v>
      </x:c>
    </x:row>
    <x:row r="10">
      <x:c r="A10" s="131" t="str">
        <x:v>Midsize General Contractor</x:v>
      </x:c>
      <x:c r="B10" s="131" t="str">
        <x:v>General Contractor</x:v>
      </x:c>
      <x:c r="C10" s="131" t="n">
        <x:v>2</x:v>
      </x:c>
      <x:c r="D10" s="96" t="n">
        <x:f>(1+'Assumptions'!$L$18)^(C10-1)</x:f>
        <x:v>1.07</x:v>
      </x:c>
      <x:c r="E10" s="95" t="n">
        <x:f>'Assumptions'!$N$18*D10</x:f>
        <x:v>162747</x:v>
      </x:c>
      <x:c r="F10" s="95" t="n">
        <x:f>IF(C10=1,'Assumptions'!$B$9*12+'Assumptions'!$B$11,'Assumptions'!$B$9*12)</x:f>
        <x:v>1188</x:v>
      </x:c>
      <x:c r="G10" s="95" t="n">
        <x:f>IF(C10=1,'Assumptions'!$B$10*12+'Assumptions'!$B$12,'Assumptions'!$B$9*12)</x:f>
        <x:v>1188</x:v>
      </x:c>
      <x:c r="H10" s="95" t="n">
        <x:f>F10-G10</x:f>
        <x:v>0</x:v>
      </x:c>
      <x:c r="I10" s="95" t="n">
        <x:f>E10-G10</x:f>
        <x:v>161559</x:v>
      </x:c>
    </x:row>
    <x:row r="11">
      <x:c r="A11" s="131" t="str">
        <x:v>Midsize General Contractor</x:v>
      </x:c>
      <x:c r="B11" s="131" t="str">
        <x:v>General Contractor</x:v>
      </x:c>
      <x:c r="C11" s="131" t="n">
        <x:v>3</x:v>
      </x:c>
      <x:c r="D11" s="96" t="n">
        <x:f>(1+'Assumptions'!$L$18)^(C11-1)</x:f>
        <x:v>1.1449</x:v>
      </x:c>
      <x:c r="E11" s="95" t="n">
        <x:f>'Assumptions'!$N$18*D11</x:f>
        <x:v>174139.29</x:v>
      </x:c>
      <x:c r="F11" s="95" t="n">
        <x:f>IF(C11=1,'Assumptions'!$B$9*12+'Assumptions'!$B$11,'Assumptions'!$B$9*12)</x:f>
        <x:v>1188</x:v>
      </x:c>
      <x:c r="G11" s="95" t="n">
        <x:f>IF(C11=1,'Assumptions'!$B$10*12+'Assumptions'!$B$12,'Assumptions'!$B$9*12)</x:f>
        <x:v>1188</x:v>
      </x:c>
      <x:c r="H11" s="95" t="n">
        <x:f>F11-G11</x:f>
        <x:v>0</x:v>
      </x:c>
      <x:c r="I11" s="95" t="n">
        <x:f>E11-G11</x:f>
        <x:v>172951.29</x:v>
      </x:c>
    </x:row>
    <x:row r="12">
      <x:c r="A12" s="131" t="str">
        <x:v>Midsize General Contractor</x:v>
      </x:c>
      <x:c r="B12" s="131" t="str">
        <x:v>General Contractor</x:v>
      </x:c>
      <x:c r="C12" s="131" t="n">
        <x:v>4</x:v>
      </x:c>
      <x:c r="D12" s="96" t="n">
        <x:f>(1+'Assumptions'!$L$18)^(C12-1)</x:f>
        <x:v>1.225043</x:v>
      </x:c>
      <x:c r="E12" s="95" t="n">
        <x:f>'Assumptions'!$N$18*D12</x:f>
        <x:v>186329.04030000002</x:v>
      </x:c>
      <x:c r="F12" s="95" t="n">
        <x:f>IF(C12=1,'Assumptions'!$B$9*12+'Assumptions'!$B$11,'Assumptions'!$B$9*12)</x:f>
        <x:v>1188</x:v>
      </x:c>
      <x:c r="G12" s="95" t="n">
        <x:f>IF(C12=1,'Assumptions'!$B$10*12+'Assumptions'!$B$12,'Assumptions'!$B$9*12)</x:f>
        <x:v>1188</x:v>
      </x:c>
      <x:c r="H12" s="95" t="n">
        <x:f>F12-G12</x:f>
        <x:v>0</x:v>
      </x:c>
      <x:c r="I12" s="95" t="n">
        <x:f>E12-G12</x:f>
        <x:v>185141.04030000002</x:v>
      </x:c>
    </x:row>
    <x:row r="13">
      <x:c r="A13" s="122" t="str">
        <x:v>Startup Contracting Firm</x:v>
      </x:c>
      <x:c r="B13" s="122" t="str">
        <x:v>Contracting Firm</x:v>
      </x:c>
      <x:c r="C13" s="122" t="n">
        <x:v>1</x:v>
      </x:c>
      <x:c r="D13" s="123" t="n">
        <x:f>(1+'Assumptions'!$L$19)^(C13-1)</x:f>
        <x:v>1</x:v>
      </x:c>
      <x:c r="E13" s="124" t="n">
        <x:f>'Assumptions'!$N$19*D13</x:f>
        <x:v>63846.9</x:v>
      </x:c>
      <x:c r="F13" s="124" t="n">
        <x:f>IF(C13=1,'Assumptions'!$B$9*12+'Assumptions'!$B$11,'Assumptions'!$B$9*12)</x:f>
        <x:v>3188</x:v>
      </x:c>
      <x:c r="G13" s="124" t="n">
        <x:f>IF(C13=1,'Assumptions'!$B$10*12+'Assumptions'!$B$12,'Assumptions'!$B$9*12)</x:f>
        <x:v>300</x:v>
      </x:c>
      <x:c r="H13" s="124" t="n">
        <x:f>F13-G13</x:f>
        <x:v>2888</x:v>
      </x:c>
      <x:c r="I13" s="124" t="n">
        <x:f>E13-G13</x:f>
        <x:v>63546.9</x:v>
      </x:c>
    </x:row>
    <x:row r="14">
      <x:c r="A14" s="125" t="str">
        <x:v>Startup Contracting Firm</x:v>
      </x:c>
      <x:c r="B14" s="125" t="str">
        <x:v>Contracting Firm</x:v>
      </x:c>
      <x:c r="C14" s="125" t="n">
        <x:v>2</x:v>
      </x:c>
      <x:c r="D14" s="126" t="n">
        <x:f>(1+'Assumptions'!$L$19)^(C14-1)</x:f>
        <x:v>1.07</x:v>
      </x:c>
      <x:c r="E14" s="127" t="n">
        <x:f>'Assumptions'!$N$19*D14</x:f>
        <x:v>68316.183</x:v>
      </x:c>
      <x:c r="F14" s="127" t="n">
        <x:f>IF(C14=1,'Assumptions'!$B$9*12+'Assumptions'!$B$11,'Assumptions'!$B$9*12)</x:f>
        <x:v>1188</x:v>
      </x:c>
      <x:c r="G14" s="127" t="n">
        <x:f>IF(C14=1,'Assumptions'!$B$10*12+'Assumptions'!$B$12,'Assumptions'!$B$9*12)</x:f>
        <x:v>1188</x:v>
      </x:c>
      <x:c r="H14" s="127" t="n">
        <x:f>F14-G14</x:f>
        <x:v>0</x:v>
      </x:c>
      <x:c r="I14" s="127" t="n">
        <x:f>E14-G14</x:f>
        <x:v>67128.183</x:v>
      </x:c>
    </x:row>
    <x:row r="15">
      <x:c r="A15" s="125" t="str">
        <x:v>Startup Contracting Firm</x:v>
      </x:c>
      <x:c r="B15" s="125" t="str">
        <x:v>Contracting Firm</x:v>
      </x:c>
      <x:c r="C15" s="125" t="n">
        <x:v>3</x:v>
      </x:c>
      <x:c r="D15" s="126" t="n">
        <x:f>(1+'Assumptions'!$L$19)^(C15-1)</x:f>
        <x:v>1.1449</x:v>
      </x:c>
      <x:c r="E15" s="127" t="n">
        <x:f>'Assumptions'!$N$19*D15</x:f>
        <x:v>73098.31581</x:v>
      </x:c>
      <x:c r="F15" s="127" t="n">
        <x:f>IF(C15=1,'Assumptions'!$B$9*12+'Assumptions'!$B$11,'Assumptions'!$B$9*12)</x:f>
        <x:v>1188</x:v>
      </x:c>
      <x:c r="G15" s="127" t="n">
        <x:f>IF(C15=1,'Assumptions'!$B$10*12+'Assumptions'!$B$12,'Assumptions'!$B$9*12)</x:f>
        <x:v>1188</x:v>
      </x:c>
      <x:c r="H15" s="127" t="n">
        <x:f>F15-G15</x:f>
        <x:v>0</x:v>
      </x:c>
      <x:c r="I15" s="127" t="n">
        <x:f>E15-G15</x:f>
        <x:v>71910.31581</x:v>
      </x:c>
    </x:row>
    <x:row r="16">
      <x:c r="A16" s="125" t="str">
        <x:v>Startup Contracting Firm</x:v>
      </x:c>
      <x:c r="B16" s="125" t="str">
        <x:v>Contracting Firm</x:v>
      </x:c>
      <x:c r="C16" s="125" t="n">
        <x:v>4</x:v>
      </x:c>
      <x:c r="D16" s="126" t="n">
        <x:f>(1+'Assumptions'!$L$19)^(C16-1)</x:f>
        <x:v>1.225043</x:v>
      </x:c>
      <x:c r="E16" s="127" t="n">
        <x:f>'Assumptions'!$N$19*D16</x:f>
        <x:v>78215.19791670001</x:v>
      </x:c>
      <x:c r="F16" s="127" t="n">
        <x:f>IF(C16=1,'Assumptions'!$B$9*12+'Assumptions'!$B$11,'Assumptions'!$B$9*12)</x:f>
        <x:v>1188</x:v>
      </x:c>
      <x:c r="G16" s="127" t="n">
        <x:f>IF(C16=1,'Assumptions'!$B$10*12+'Assumptions'!$B$12,'Assumptions'!$B$9*12)</x:f>
        <x:v>1188</x:v>
      </x:c>
      <x:c r="H16" s="127" t="n">
        <x:f>F16-G16</x:f>
        <x:v>0</x:v>
      </x:c>
      <x:c r="I16" s="127" t="n">
        <x:f>E16-G16</x:f>
        <x:v>77027.19791670001</x:v>
      </x:c>
    </x:row>
    <x:row r="17">
      <x:c r="A17" s="128" t="str">
        <x:v>Scaling Contracting Firm</x:v>
      </x:c>
      <x:c r="B17" s="128" t="str">
        <x:v>Contracting Firm</x:v>
      </x:c>
      <x:c r="C17" s="128" t="n">
        <x:v>1</x:v>
      </x:c>
      <x:c r="D17" s="129" t="n">
        <x:f>(1+'Assumptions'!$L$20)^(C17-1)</x:f>
        <x:v>1</x:v>
      </x:c>
      <x:c r="E17" s="130" t="n">
        <x:f>'Assumptions'!$N$20*D17</x:f>
        <x:v>190944</x:v>
      </x:c>
      <x:c r="F17" s="130" t="n">
        <x:f>IF(C17=1,'Assumptions'!$B$9*12+'Assumptions'!$B$11,'Assumptions'!$B$9*12)</x:f>
        <x:v>3188</x:v>
      </x:c>
      <x:c r="G17" s="130" t="n">
        <x:f>IF(C17=1,'Assumptions'!$B$10*12+'Assumptions'!$B$12,'Assumptions'!$B$9*12)</x:f>
        <x:v>300</x:v>
      </x:c>
      <x:c r="H17" s="130" t="n">
        <x:f>F17-G17</x:f>
        <x:v>2888</x:v>
      </x:c>
      <x:c r="I17" s="130" t="n">
        <x:f>E17-G17</x:f>
        <x:v>190644</x:v>
      </x:c>
    </x:row>
    <x:row r="18">
      <x:c r="A18" s="131" t="str">
        <x:v>Scaling Contracting Firm</x:v>
      </x:c>
      <x:c r="B18" s="131" t="str">
        <x:v>Contracting Firm</x:v>
      </x:c>
      <x:c r="C18" s="131" t="n">
        <x:v>2</x:v>
      </x:c>
      <x:c r="D18" s="96" t="n">
        <x:f>(1+'Assumptions'!$L$20)^(C18-1)</x:f>
        <x:v>1.07</x:v>
      </x:c>
      <x:c r="E18" s="95" t="n">
        <x:f>'Assumptions'!$N$20*D18</x:f>
        <x:v>204310.08000000002</x:v>
      </x:c>
      <x:c r="F18" s="95" t="n">
        <x:f>IF(C18=1,'Assumptions'!$B$9*12+'Assumptions'!$B$11,'Assumptions'!$B$9*12)</x:f>
        <x:v>1188</x:v>
      </x:c>
      <x:c r="G18" s="95" t="n">
        <x:f>IF(C18=1,'Assumptions'!$B$10*12+'Assumptions'!$B$12,'Assumptions'!$B$9*12)</x:f>
        <x:v>1188</x:v>
      </x:c>
      <x:c r="H18" s="95" t="n">
        <x:f>F18-G18</x:f>
        <x:v>0</x:v>
      </x:c>
      <x:c r="I18" s="95" t="n">
        <x:f>E18-G18</x:f>
        <x:v>203122.08000000002</x:v>
      </x:c>
    </x:row>
    <x:row r="19">
      <x:c r="A19" s="131" t="str">
        <x:v>Scaling Contracting Firm</x:v>
      </x:c>
      <x:c r="B19" s="131" t="str">
        <x:v>Contracting Firm</x:v>
      </x:c>
      <x:c r="C19" s="131" t="n">
        <x:v>3</x:v>
      </x:c>
      <x:c r="D19" s="96" t="n">
        <x:f>(1+'Assumptions'!$L$20)^(C19-1)</x:f>
        <x:v>1.1449</x:v>
      </x:c>
      <x:c r="E19" s="95" t="n">
        <x:f>'Assumptions'!$N$20*D19</x:f>
        <x:v>218611.7856</x:v>
      </x:c>
      <x:c r="F19" s="95" t="n">
        <x:f>IF(C19=1,'Assumptions'!$B$9*12+'Assumptions'!$B$11,'Assumptions'!$B$9*12)</x:f>
        <x:v>1188</x:v>
      </x:c>
      <x:c r="G19" s="95" t="n">
        <x:f>IF(C19=1,'Assumptions'!$B$10*12+'Assumptions'!$B$12,'Assumptions'!$B$9*12)</x:f>
        <x:v>1188</x:v>
      </x:c>
      <x:c r="H19" s="95" t="n">
        <x:f>F19-G19</x:f>
        <x:v>0</x:v>
      </x:c>
      <x:c r="I19" s="95" t="n">
        <x:f>E19-G19</x:f>
        <x:v>217423.7856</x:v>
      </x:c>
    </x:row>
    <x:row r="20">
      <x:c r="A20" s="132" t="str">
        <x:v>Scaling Contracting Firm</x:v>
      </x:c>
      <x:c r="B20" s="132" t="str">
        <x:v>Contracting Firm</x:v>
      </x:c>
      <x:c r="C20" s="132" t="n">
        <x:v>4</x:v>
      </x:c>
      <x:c r="D20" s="103" t="n">
        <x:f>(1+'Assumptions'!$L$20)^(C20-1)</x:f>
        <x:v>1.225043</x:v>
      </x:c>
      <x:c r="E20" s="102" t="n">
        <x:f>'Assumptions'!$N$20*D20</x:f>
        <x:v>233914.610592</x:v>
      </x:c>
      <x:c r="F20" s="102" t="n">
        <x:f>IF(C20=1,'Assumptions'!$B$9*12+'Assumptions'!$B$11,'Assumptions'!$B$9*12)</x:f>
        <x:v>1188</x:v>
      </x:c>
      <x:c r="G20" s="102" t="n">
        <x:f>IF(C20=1,'Assumptions'!$B$10*12+'Assumptions'!$B$12,'Assumptions'!$B$9*12)</x:f>
        <x:v>1188</x:v>
      </x:c>
      <x:c r="H20" s="102" t="n">
        <x:f>F20-G20</x:f>
        <x:v>0</x:v>
      </x:c>
      <x:c r="I20" s="102" t="n">
        <x:f>E20-G20</x:f>
        <x:v>232726.610592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8" hidden="0" customWidth="1"/>
    <x:col min="3" max="3" width="56" hidden="0" customWidth="1"/>
    <x:col min="4" max="4" width="42" hidden="0" customWidth="1"/>
  </x:cols>
  <x:sheetData>
    <x:row r="1" ht="34" customHeight="1">
      <x:c r="A1" s="66" t="str">
        <x:v>JasonAI ROI Model — Logic &amp; Sources</x:v>
      </x:c>
      <x:c r="B1" s="66" t="str">
        <x:v>JasonAI ROI Model — Logic &amp; Sources</x:v>
      </x:c>
      <x:c r="C1" s="66" t="str">
        <x:v>JasonAI ROI Model — Logic &amp; Sources</x:v>
      </x:c>
      <x:c r="D1" s="66" t="str">
        <x:v>JasonAI ROI Model — Logic &amp; Sources</x:v>
      </x:c>
    </x:row>
    <x:row r="2" ht="30" customHeight="1">
      <x:c r="A2" s="67" t="str">
        <x:v>The model below documents the current calculator implementation and distinguishes backend assumptions from illustrative band inputs.</x:v>
      </x:c>
      <x:c r="B2" s="67" t="str">
        <x:v>The model below documents the current calculator implementation and distinguishes backend assumptions from illustrative band inputs.</x:v>
      </x:c>
      <x:c r="C2" s="67" t="str">
        <x:v>The model below documents the current calculator implementation and distinguishes backend assumptions from illustrative band inputs.</x:v>
      </x:c>
      <x:c r="D2" s="67" t="str">
        <x:v>The model below documents the current calculator implementation and distinguishes backend assumptions from illustrative band inputs.</x:v>
      </x:c>
    </x:row>
    <x:row r="3">
      <x:c r="A3" s="68"/>
      <x:c r="B3" s="68"/>
      <x:c r="C3" s="68"/>
      <x:c r="D3" s="68"/>
    </x:row>
    <x:row r="4" ht="30" customHeight="1">
      <x:c r="A4" s="70" t="str">
        <x:v>Step</x:v>
      </x:c>
      <x:c r="B4" s="70" t="str">
        <x:v>Website Logic</x:v>
      </x:c>
      <x:c r="C4" s="70" t="str">
        <x:v>Excel Implementation</x:v>
      </x:c>
      <x:c r="D4" s="70" t="str">
        <x:v>Interpretation</x:v>
      </x:c>
    </x:row>
    <x:row r="5" ht="38" customHeight="1">
      <x:c r="A5" s="212" t="str">
        <x:v>Business profile</x:v>
      </x:c>
      <x:c r="B5" s="73" t="str">
        <x:v>Employees, active projects, average project weeks</x:v>
      </x:c>
      <x:c r="C5" s="213" t="str">
        <x:v>Editable blue cells on Assumptions</x:v>
      </x:c>
      <x:c r="D5" s="73" t="str">
        <x:v>The only prospect-specific inputs.</x:v>
      </x:c>
    </x:row>
    <x:row r="6" ht="38" customHeight="1">
      <x:c r="A6" s="214" t="str">
        <x:v>Modeled businesses</x:v>
      </x:c>
      <x:c r="B6" s="76" t="str">
        <x:v>Firm: clamp(round(projects ÷ 4), 2, 12); GC: 1</x:v>
      </x:c>
      <x:c r="C6" s="215" t="str">
        <x:v>=IF(type="Contracting Firm",MAX(2,MIN(12,ROUND(projects/4,0))),1)</x:v>
      </x:c>
      <x:c r="D6" s="76" t="str">
        <x:v>Proxy for portfolio breadth.</x:v>
      </x:c>
    </x:row>
    <x:row r="7" ht="38" customHeight="1">
      <x:c r="A7" s="214" t="str">
        <x:v>Coordination share</x:v>
      </x:c>
      <x:c r="B7" s="76" t="str">
        <x:v>Firm: 25%; GC: 35%</x:v>
      </x:c>
      <x:c r="C7" s="215" t="str">
        <x:v>=IF(type="Contracting Firm",25%,35%)</x:v>
      </x:c>
      <x:c r="D7" s="76" t="str">
        <x:v>Share of employees likely to search or recap communication.</x:v>
      </x:c>
    </x:row>
    <x:row r="8" ht="38" customHeight="1">
      <x:c r="A8" s="214" t="str">
        <x:v>Project load</x:v>
      </x:c>
      <x:c r="B8" s="76" t="str">
        <x:v>Active projects ÷ max(1, employees)</x:v>
      </x:c>
      <x:c r="C8" s="215" t="str">
        <x:v>=projects/MAX(1,employees)</x:v>
      </x:c>
      <x:c r="D8" s="76" t="str">
        <x:v>Density of active work relative to staff.</x:v>
      </x:c>
    </x:row>
    <x:row r="9" ht="38" customHeight="1">
      <x:c r="A9" s="214" t="str">
        <x:v>Coordination users</x:v>
      </x:c>
      <x:c r="B9" s="76" t="str">
        <x:v>Clamp(round(employees × share + min(4, projects ÷ 10)), 1, 100)</x:v>
      </x:c>
      <x:c r="C9" s="215" t="str">
        <x:v>=MAX(1,MIN(100,ROUND(employees*share+MIN(4,projects/10),0)))</x:v>
      </x:c>
      <x:c r="D9" s="76" t="str">
        <x:v>Users regularly requiring context.</x:v>
      </x:c>
    </x:row>
    <x:row r="10" ht="38" customHeight="1">
      <x:c r="A10" s="214" t="str">
        <x:v>Weekly work hours</x:v>
      </x:c>
      <x:c r="B10" s="76" t="str">
        <x:v>Clamp(round((38 + min(20, project load × 30)) ÷ 5) × 5, 35, 60)</x:v>
      </x:c>
      <x:c r="C10" s="215" t="str">
        <x:v>=MAX(35,MIN(60,ROUND((38+MIN(20,load*30))/5,0)*5))</x:v>
      </x:c>
      <x:c r="D10" s="76" t="str">
        <x:v>Hours each coordination user spends on the business.</x:v>
      </x:c>
    </x:row>
    <x:row r="11" ht="38" customHeight="1">
      <x:c r="A11" s="214" t="str">
        <x:v>Loaded hourly cost</x:v>
      </x:c>
      <x:c r="B11" s="76" t="str">
        <x:v>Firm: $85; GC: $65</x:v>
      </x:c>
      <x:c r="C11" s="215" t="str">
        <x:v>=IF(type="Contracting Firm",85,65)</x:v>
      </x:c>
      <x:c r="D11" s="76" t="str">
        <x:v>Wage, burden and opportunity cost proxy.</x:v>
      </x:c>
    </x:row>
    <x:row r="12" ht="38" customHeight="1">
      <x:c r="A12" s="214" t="str">
        <x:v>Annual growth</x:v>
      </x:c>
      <x:c r="B12" s="76" t="str">
        <x:v>Clamp(round(4 + min(8, load × 5 + 26 ÷ weeks)), 0, 20)</x:v>
      </x:c>
      <x:c r="C12" s="215" t="str">
        <x:v>=MAX(0,MIN(20,ROUND(4+MIN(8,load*5+26/weeks),0)))/100</x:v>
      </x:c>
      <x:c r="D12" s="76" t="str">
        <x:v>Scales annual communication value in Years 2–4.</x:v>
      </x:c>
    </x:row>
    <x:row r="13" ht="38" customHeight="1">
      <x:c r="A13" s="214" t="str">
        <x:v>Portfolio multiplier</x:v>
      </x:c>
      <x:c r="B13" s="76" t="str">
        <x:v>Firm: 1 + min(45%, max(0, businesses − 1) × 7%); GC: 1</x:v>
      </x:c>
      <x:c r="C13" s="215" t="str">
        <x:v>=IF(type="Contracting Firm",1+MIN(45%,MAX(0,businesses-1)*7%),1)</x:v>
      </x:c>
      <x:c r="D13" s="76" t="str">
        <x:v>Additional firm value from consistent analytics across businesses.</x:v>
      </x:c>
    </x:row>
    <x:row r="14" ht="38" customHeight="1">
      <x:c r="A14" s="214" t="str">
        <x:v>Year 1 modeled value</x:v>
      </x:c>
      <x:c r="B14" s="76" t="str">
        <x:v>Users × hours × 15% × 52 × hourly cost × 30% × portfolio multiplier</x:v>
      </x:c>
      <x:c r="C14" s="215" t="str">
        <x:v>=users*hours*communication_share*weeks*hourly_cost*recovery_rate*portfolio_multiplier</x:v>
      </x:c>
      <x:c r="D14" s="76" t="str">
        <x:v>Dollar value of recovered coordination time.</x:v>
      </x:c>
    </x:row>
    <x:row r="15" ht="38" customHeight="1">
      <x:c r="A15" s="214" t="str">
        <x:v>Years 2–4 value</x:v>
      </x:c>
      <x:c r="B15" s="76" t="str">
        <x:v>Year 1 value × (1 + annual growth)^(year − 1)</x:v>
      </x:c>
      <x:c r="C15" s="215" t="str">
        <x:v>=year1_value*(1+annual_growth)^(year-1)</x:v>
      </x:c>
      <x:c r="D15" s="76" t="str">
        <x:v>Compounds modeled communication value.</x:v>
      </x:c>
    </x:row>
    <x:row r="16" ht="38" customHeight="1">
      <x:c r="A16" s="214" t="str">
        <x:v>Standard investment</x:v>
      </x:c>
      <x:c r="B16" s="76" t="str">
        <x:v>Year 1: $99 × 12 + $2,000; later years: $99 × 12</x:v>
      </x:c>
      <x:c r="C16" s="215" t="str">
        <x:v>=IF(year=1,standard_monthly*12+standard_setup,standard_monthly*12)</x:v>
      </x:c>
      <x:c r="D16" s="76" t="str">
        <x:v>Undiscounted JasonAI price.</x:v>
      </x:c>
    </x:row>
    <x:row r="17" ht="38" customHeight="1">
      <x:c r="A17" s="214" t="str">
        <x:v>Pre-launch investment</x:v>
      </x:c>
      <x:c r="B17" s="76" t="str">
        <x:v>Year 1: $25 × 12 + $0; later years: $99 × 12</x:v>
      </x:c>
      <x:c r="C17" s="215" t="str">
        <x:v>=IF(year=1,offer_monthly*12+offer_setup,standard_monthly*12)</x:v>
      </x:c>
      <x:c r="D17" s="76" t="str">
        <x:v>Current pre-launch offer applied to Year 1.</x:v>
      </x:c>
    </x:row>
    <x:row r="18" ht="38" customHeight="1">
      <x:c r="A18" s="214" t="str">
        <x:v>Net return</x:v>
      </x:c>
      <x:c r="B18" s="76" t="str">
        <x:v>Modeled value − pre-launch investment</x:v>
      </x:c>
      <x:c r="C18" s="215" t="str">
        <x:v>=modeled_value-offer_investment</x:v>
      </x:c>
      <x:c r="D18" s="76" t="str">
        <x:v>Return after estimated JasonAI cost.</x:v>
      </x:c>
    </x:row>
    <x:row r="19" ht="38" customHeight="1">
      <x:c r="A19" s="214" t="str">
        <x:v>Four-year ROI</x:v>
      </x:c>
      <x:c r="B19" s="76" t="str">
        <x:v>Four-year net return ÷ four-year pre-launch investment</x:v>
      </x:c>
      <x:c r="C19" s="215" t="str">
        <x:v>=four_year_net_return/four_year_offer_investment</x:v>
      </x:c>
      <x:c r="D19" s="76" t="str">
        <x:v>Matches the live calculator's ROI convention.</x:v>
      </x:c>
    </x:row>
    <x:row r="20" ht="38" customHeight="1">
      <x:c r="A20" s="216" t="str">
        <x:v>Payback period</x:v>
      </x:c>
      <x:c r="B20" s="82" t="str">
        <x:v>Year 1 offer investment ÷ (Year 1 value ÷ 12)</x:v>
      </x:c>
      <x:c r="C20" s="217" t="str">
        <x:v>=year1_offer_investment/(year1_value/12)</x:v>
      </x:c>
      <x:c r="D20" s="82" t="str">
        <x:v>Months of modeled value required to recover Year 1 cost.</x:v>
      </x:c>
    </x:row>
    <x:row r="21">
      <x:c r="A21" s="68"/>
      <x:c r="B21" s="68"/>
      <x:c r="C21" s="68"/>
      <x:c r="D21" s="68"/>
    </x:row>
    <x:row r="22" ht="22" customHeight="1">
      <x:c r="A22" s="69" t="str">
        <x:v>SOURCE &amp; METHODOLOGY NOTES</x:v>
      </x:c>
      <x:c r="B22" s="69" t="str">
        <x:v>SOURCE &amp; METHODOLOGY NOTES</x:v>
      </x:c>
      <x:c r="C22" s="69" t="str">
        <x:v>SOURCE &amp; METHODOLOGY NOTES</x:v>
      </x:c>
      <x:c r="D22" s="69" t="str">
        <x:v>SOURCE &amp; METHODOLOGY NOTES</x:v>
      </x:c>
    </x:row>
    <x:row r="23" ht="30" customHeight="1">
      <x:c r="A23" s="70" t="str">
        <x:v>Item</x:v>
      </x:c>
      <x:c r="B23" s="70" t="str">
        <x:v>Source Type</x:v>
      </x:c>
      <x:c r="C23" s="70" t="str">
        <x:v>Reference</x:v>
      </x:c>
      <x:c r="D23" s="70" t="str">
        <x:v>Notes</x:v>
      </x:c>
    </x:row>
    <x:row r="24" ht="34" customHeight="1">
      <x:c r="A24" s="73" t="str">
        <x:v>Backend formulas</x:v>
      </x:c>
      <x:c r="B24" s="73" t="str">
        <x:v>Internal source</x:v>
      </x:c>
      <x:c r="C24" s="73" t="str">
        <x:v>src/pages/JasonAIPricingCalculator.tsx</x:v>
      </x:c>
      <x:c r="D24" s="73" t="str">
        <x:v>Exact formulas used by the current JasonAI website calculator.</x:v>
      </x:c>
    </x:row>
    <x:row r="25" ht="34" customHeight="1">
      <x:c r="A25" s="76" t="str">
        <x:v>Standard pricing</x:v>
      </x:c>
      <x:c r="B25" s="76" t="str">
        <x:v>User-provided commercial input</x:v>
      </x:c>
      <x:c r="C25" s="76" t="str">
        <x:v>$99/month + $2,000 setup</x:v>
      </x:c>
      <x:c r="D25" s="76" t="str">
        <x:v>Provided in this Codex task and implemented site-wide.</x:v>
      </x:c>
    </x:row>
    <x:row r="26" ht="34" customHeight="1">
      <x:c r="A26" s="76" t="str">
        <x:v>Pre-launch offer</x:v>
      </x:c>
      <x:c r="B26" s="76" t="str">
        <x:v>User-provided commercial input</x:v>
      </x:c>
      <x:c r="C26" s="76" t="str">
        <x:v>$25/month in Year 1 + $0 setup</x:v>
      </x:c>
      <x:c r="D26" s="76" t="str">
        <x:v>Standard $99/month begins in Year 2.</x:v>
      </x:c>
    </x:row>
    <x:row r="27" ht="34" customHeight="1">
      <x:c r="A27" s="82" t="str">
        <x:v>Four business bands</x:v>
      </x:c>
      <x:c r="B27" s="82" t="str">
        <x:v>Illustrative management assumptions</x:v>
      </x:c>
      <x:c r="C27" s="82" t="str">
        <x:v>Assumptions!A17:E20</x:v>
      </x:c>
      <x:c r="D27" s="82" t="str">
        <x:v>Representative comparison profiles; not claims about external market averages.</x:v>
      </x:c>
    </x:row>
  </x:sheetData>
  <x:mergeCells>
    <x:mergeCell ref="A1:D1"/>
    <x:mergeCell ref="A2:D2"/>
    <x:mergeCell ref="A22:D2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 ht="34" customHeight="1">
      <x:c r="A1" s="66" t="str">
        <x:v>JasonAI ROI Model — Checks</x:v>
      </x:c>
      <x:c r="B1" s="66" t="str">
        <x:v>JasonAI ROI Model — Checks</x:v>
      </x:c>
      <x:c r="C1" s="66" t="str">
        <x:v>JasonAI ROI Model — Checks</x:v>
      </x:c>
      <x:c r="D1" s="66" t="str">
        <x:v>JasonAI ROI Model — Checks</x:v>
      </x:c>
      <x:c r="E1" s="66" t="str">
        <x:v>JasonAI ROI Model — Checks</x:v>
      </x:c>
      <x:c r="F1" s="66" t="str">
        <x:v>JasonAI ROI Model — Checks</x:v>
      </x:c>
      <x:c r="G1" s="66" t="str">
        <x:v>JasonAI ROI Model — Checks</x:v>
      </x:c>
    </x:row>
    <x:row r="2" ht="30" customHeight="1">
      <x:c r="A2" s="67" t="str">
        <x:v>PASS means inputs are within required ranges and each scenario's key output relationships reconcile.</x:v>
      </x:c>
      <x:c r="B2" s="67" t="str">
        <x:v>PASS means inputs are within required ranges and each scenario's key output relationships reconcile.</x:v>
      </x:c>
      <x:c r="C2" s="67" t="str">
        <x:v>PASS means inputs are within required ranges and each scenario's key output relationships reconcile.</x:v>
      </x:c>
      <x:c r="D2" s="67" t="str">
        <x:v>PASS means inputs are within required ranges and each scenario's key output relationships reconcile.</x:v>
      </x:c>
      <x:c r="E2" s="67" t="str">
        <x:v>PASS means inputs are within required ranges and each scenario's key output relationships reconcile.</x:v>
      </x:c>
      <x:c r="F2" s="67" t="str">
        <x:v>PASS means inputs are within required ranges and each scenario's key output relationships reconcile.</x:v>
      </x:c>
      <x:c r="G2" s="67" t="str">
        <x:v>PASS means inputs are within required ranges and each scenario's key output relationships reconcile.</x:v>
      </x:c>
    </x:row>
    <x:row r="3">
      <x:c r="A3" s="68"/>
      <x:c r="B3" s="68"/>
      <x:c r="C3" s="68"/>
      <x:c r="D3" s="68"/>
      <x:c r="E3" s="68"/>
      <x:c r="F3" s="68"/>
      <x:c r="G3" s="68"/>
    </x:row>
    <x:row r="4" ht="30" customHeight="1">
      <x:c r="A4" s="70" t="str">
        <x:v>Check</x:v>
      </x:c>
      <x:c r="B4" s="70" t="str">
        <x:v>Actual</x:v>
      </x:c>
      <x:c r="C4" s="70" t="str">
        <x:v>Expected</x:v>
      </x:c>
      <x:c r="D4" s="70" t="str">
        <x:v>Difference</x:v>
      </x:c>
      <x:c r="E4" s="70" t="str">
        <x:v>Tolerance</x:v>
      </x:c>
      <x:c r="F4" s="70" t="str">
        <x:v>Status</x:v>
      </x:c>
      <x:c r="G4" s="70" t="str">
        <x:v>Where to Fix / Notes</x:v>
      </x:c>
    </x:row>
    <x:row r="5">
      <x:c r="A5" s="71" t="str">
        <x:v>Small GC: net return tie</x:v>
      </x:c>
      <x:c r="B5" s="194" t="n">
        <x:f>'Summary'!B25</x:f>
        <x:v>184615.39968000003</x:v>
      </x:c>
      <x:c r="C5" s="194" t="n">
        <x:f>'Summary'!B21-'Summary'!B23</x:f>
        <x:v>184615.39968000003</x:v>
      </x:c>
      <x:c r="D5" s="231" t="n">
        <x:f>B5-C5</x:f>
        <x:v>0</x:v>
      </x:c>
      <x:c r="E5" s="232" t="n">
        <x:v>0.01</x:v>
      </x:c>
      <x:c r="F5" s="71" t="str">
        <x:f>IF(ABS(D5)&lt;=E5,"OK","CHECK")</x:f>
        <x:v>OK</x:v>
      </x:c>
      <x:c r="G5" s="73" t="str">
        <x:v>Summary output or Year by Year investment/value formulas.</x:v>
      </x:c>
    </x:row>
    <x:row r="6">
      <x:c r="A6" s="74" t="str">
        <x:v>Midsize GC: net return tie</x:v>
      </x:c>
      <x:c r="B6" s="195" t="n">
        <x:f>'Summary'!C25</x:f>
        <x:v>671451.3303</x:v>
      </x:c>
      <x:c r="C6" s="195" t="n">
        <x:f>'Summary'!C21-'Summary'!C23</x:f>
        <x:v>671451.3303</x:v>
      </x:c>
      <x:c r="D6" s="233" t="n">
        <x:f>B6-C6</x:f>
        <x:v>0</x:v>
      </x:c>
      <x:c r="E6" s="234" t="n">
        <x:v>0.01</x:v>
      </x:c>
      <x:c r="F6" s="74" t="str">
        <x:f>IF(ABS(D6)&lt;=E6,"OK","CHECK")</x:f>
        <x:v>OK</x:v>
      </x:c>
      <x:c r="G6" s="76" t="str">
        <x:v>Summary output or Year by Year investment/value formulas.</x:v>
      </x:c>
    </x:row>
    <x:row r="7">
      <x:c r="A7" s="74" t="str">
        <x:v>Startup Firm: net return tie</x:v>
      </x:c>
      <x:c r="B7" s="195" t="n">
        <x:f>'Summary'!D25</x:f>
        <x:v>279612.5967267</x:v>
      </x:c>
      <x:c r="C7" s="195" t="n">
        <x:f>'Summary'!D21-'Summary'!D23</x:f>
        <x:v>279612.5967267</x:v>
      </x:c>
      <x:c r="D7" s="233" t="n">
        <x:f>B7-C7</x:f>
        <x:v>0</x:v>
      </x:c>
      <x:c r="E7" s="234" t="n">
        <x:v>0.01</x:v>
      </x:c>
      <x:c r="F7" s="74" t="str">
        <x:f>IF(ABS(D7)&lt;=E7,"OK","CHECK")</x:f>
        <x:v>OK</x:v>
      </x:c>
      <x:c r="G7" s="76" t="str">
        <x:v>Summary output or Year by Year investment/value formulas.</x:v>
      </x:c>
    </x:row>
    <x:row r="8">
      <x:c r="A8" s="74" t="str">
        <x:v>Scaling Firm: net return tie</x:v>
      </x:c>
      <x:c r="B8" s="195" t="n">
        <x:f>'Summary'!E25</x:f>
        <x:v>843916.4761920001</x:v>
      </x:c>
      <x:c r="C8" s="195" t="n">
        <x:f>'Summary'!E21-'Summary'!E23</x:f>
        <x:v>843916.4761920001</x:v>
      </x:c>
      <x:c r="D8" s="233" t="n">
        <x:f>B8-C8</x:f>
        <x:v>0</x:v>
      </x:c>
      <x:c r="E8" s="234" t="n">
        <x:v>0.01</x:v>
      </x:c>
      <x:c r="F8" s="74" t="str">
        <x:f>IF(ABS(D8)&lt;=E8,"OK","CHECK")</x:f>
        <x:v>OK</x:v>
      </x:c>
      <x:c r="G8" s="76" t="str">
        <x:v>Summary output or Year by Year investment/value formulas.</x:v>
      </x:c>
    </x:row>
    <x:row r="9">
      <x:c r="A9" s="74" t="str">
        <x:v>Small GC: offer savings tie</x:v>
      </x:c>
      <x:c r="B9" s="195" t="n">
        <x:f>'Summary'!B24</x:f>
        <x:v>2888</x:v>
      </x:c>
      <x:c r="C9" s="195" t="n">
        <x:f>'Summary'!B22-'Summary'!B23</x:f>
        <x:v>2888</x:v>
      </x:c>
      <x:c r="D9" s="233" t="n">
        <x:f>B9-C9</x:f>
        <x:v>0</x:v>
      </x:c>
      <x:c r="E9" s="234" t="n">
        <x:v>0.01</x:v>
      </x:c>
      <x:c r="F9" s="74" t="str">
        <x:f>IF(ABS(D9)&lt;=E9,"OK","CHECK")</x:f>
        <x:v>OK</x:v>
      </x:c>
      <x:c r="G9" s="76" t="str">
        <x:v>Summary output or Year by Year pricing formulas.</x:v>
      </x:c>
    </x:row>
    <x:row r="10">
      <x:c r="A10" s="74" t="str">
        <x:v>Midsize GC: offer savings tie</x:v>
      </x:c>
      <x:c r="B10" s="195" t="n">
        <x:f>'Summary'!C24</x:f>
        <x:v>2888</x:v>
      </x:c>
      <x:c r="C10" s="195" t="n">
        <x:f>'Summary'!C22-'Summary'!C23</x:f>
        <x:v>2888</x:v>
      </x:c>
      <x:c r="D10" s="233" t="n">
        <x:f>B10-C10</x:f>
        <x:v>0</x:v>
      </x:c>
      <x:c r="E10" s="234" t="n">
        <x:v>0.01</x:v>
      </x:c>
      <x:c r="F10" s="74" t="str">
        <x:f>IF(ABS(D10)&lt;=E10,"OK","CHECK")</x:f>
        <x:v>OK</x:v>
      </x:c>
      <x:c r="G10" s="76" t="str">
        <x:v>Summary output or Year by Year pricing formulas.</x:v>
      </x:c>
    </x:row>
    <x:row r="11">
      <x:c r="A11" s="74" t="str">
        <x:v>Startup Firm: offer savings tie</x:v>
      </x:c>
      <x:c r="B11" s="195" t="n">
        <x:f>'Summary'!D24</x:f>
        <x:v>2888</x:v>
      </x:c>
      <x:c r="C11" s="195" t="n">
        <x:f>'Summary'!D22-'Summary'!D23</x:f>
        <x:v>2888</x:v>
      </x:c>
      <x:c r="D11" s="233" t="n">
        <x:f>B11-C11</x:f>
        <x:v>0</x:v>
      </x:c>
      <x:c r="E11" s="234" t="n">
        <x:v>0.01</x:v>
      </x:c>
      <x:c r="F11" s="74" t="str">
        <x:f>IF(ABS(D11)&lt;=E11,"OK","CHECK")</x:f>
        <x:v>OK</x:v>
      </x:c>
      <x:c r="G11" s="76" t="str">
        <x:v>Summary output or Year by Year pricing formulas.</x:v>
      </x:c>
    </x:row>
    <x:row r="12">
      <x:c r="A12" s="74" t="str">
        <x:v>Scaling Firm: offer savings tie</x:v>
      </x:c>
      <x:c r="B12" s="195" t="n">
        <x:f>'Summary'!E24</x:f>
        <x:v>2888</x:v>
      </x:c>
      <x:c r="C12" s="195" t="n">
        <x:f>'Summary'!E22-'Summary'!E23</x:f>
        <x:v>2888</x:v>
      </x:c>
      <x:c r="D12" s="233" t="n">
        <x:f>B12-C12</x:f>
        <x:v>0</x:v>
      </x:c>
      <x:c r="E12" s="234" t="n">
        <x:v>0.01</x:v>
      </x:c>
      <x:c r="F12" s="74" t="str">
        <x:f>IF(ABS(D12)&lt;=E12,"OK","CHECK")</x:f>
        <x:v>OK</x:v>
      </x:c>
      <x:c r="G12" s="76" t="str">
        <x:v>Summary output or Year by Year pricing formulas.</x:v>
      </x:c>
    </x:row>
    <x:row r="13">
      <x:c r="A13" s="74" t="str">
        <x:v>Small GC: inputs positive</x:v>
      </x:c>
      <x:c r="B13" s="235" t="n">
        <x:f>MIN('Assumptions'!C17:E17)</x:f>
        <x:v>6</x:v>
      </x:c>
      <x:c r="C13" s="235" t="n">
        <x:v>1</x:v>
      </x:c>
      <x:c r="D13" s="235" t="n">
        <x:f>B13-C13</x:f>
        <x:v>5</x:v>
      </x:c>
      <x:c r="E13" s="235" t="n">
        <x:v>0</x:v>
      </x:c>
      <x:c r="F13" s="74" t="str">
        <x:f>IF(B13&gt;=C13,"OK","CHECK")</x:f>
        <x:v>OK</x:v>
      </x:c>
      <x:c r="G13" s="76" t="str">
        <x:v>Assumptions input row.</x:v>
      </x:c>
    </x:row>
    <x:row r="14">
      <x:c r="A14" s="74" t="str">
        <x:v>Midsize GC: inputs positive</x:v>
      </x:c>
      <x:c r="B14" s="235" t="n">
        <x:f>MIN('Assumptions'!C18:E18)</x:f>
        <x:v>20</x:v>
      </x:c>
      <x:c r="C14" s="235" t="n">
        <x:v>1</x:v>
      </x:c>
      <x:c r="D14" s="235" t="n">
        <x:f>B14-C14</x:f>
        <x:v>19</x:v>
      </x:c>
      <x:c r="E14" s="235" t="n">
        <x:v>0</x:v>
      </x:c>
      <x:c r="F14" s="74" t="str">
        <x:f>IF(B14&gt;=C14,"OK","CHECK")</x:f>
        <x:v>OK</x:v>
      </x:c>
      <x:c r="G14" s="76" t="str">
        <x:v>Assumptions input row.</x:v>
      </x:c>
    </x:row>
    <x:row r="15">
      <x:c r="A15" s="74" t="str">
        <x:v>Startup Firm: inputs positive</x:v>
      </x:c>
      <x:c r="B15" s="235" t="n">
        <x:f>MIN('Assumptions'!C19:E19)</x:f>
        <x:v>8</x:v>
      </x:c>
      <x:c r="C15" s="235" t="n">
        <x:v>1</x:v>
      </x:c>
      <x:c r="D15" s="235" t="n">
        <x:f>B15-C15</x:f>
        <x:v>7</x:v>
      </x:c>
      <x:c r="E15" s="235" t="n">
        <x:v>0</x:v>
      </x:c>
      <x:c r="F15" s="74" t="str">
        <x:f>IF(B15&gt;=C15,"OK","CHECK")</x:f>
        <x:v>OK</x:v>
      </x:c>
      <x:c r="G15" s="76" t="str">
        <x:v>Assumptions input row.</x:v>
      </x:c>
    </x:row>
    <x:row r="16">
      <x:c r="A16" s="80" t="str">
        <x:v>Scaling Firm: inputs positive</x:v>
      </x:c>
      <x:c r="B16" s="236" t="n">
        <x:f>MIN('Assumptions'!C20:E20)</x:f>
        <x:v>20</x:v>
      </x:c>
      <x:c r="C16" s="236" t="n">
        <x:v>1</x:v>
      </x:c>
      <x:c r="D16" s="236" t="n">
        <x:f>B16-C16</x:f>
        <x:v>19</x:v>
      </x:c>
      <x:c r="E16" s="236" t="n">
        <x:v>0</x:v>
      </x:c>
      <x:c r="F16" s="80" t="str">
        <x:f>IF(B16&gt;=C16,"OK","CHECK")</x:f>
        <x:v>OK</x:v>
      </x:c>
      <x:c r="G16" s="82" t="str">
        <x:v>Assumptions input row.</x:v>
      </x:c>
    </x:row>
    <x:row r="17">
      <x:c r="A17" s="237" t="str">
        <x:v>MODEL STATUS</x:v>
      </x:c>
      <x:c r="B17" s="237" t="str">
        <x:v>MODEL STATUS</x:v>
      </x:c>
      <x:c r="C17" s="237" t="str">
        <x:v>MODEL STATUS</x:v>
      </x:c>
      <x:c r="D17" s="237" t="str">
        <x:v>MODEL STATUS</x:v>
      </x:c>
      <x:c r="E17" s="237" t="str">
        <x:v>MODEL STATUS</x:v>
      </x:c>
      <x:c r="F17" s="237" t="str">
        <x:f>IF(AND(F5="OK",F6="OK",F7="OK",F8="OK",F9="OK",F10="OK",F11="OK",F12="OK",F13="OK",F14="OK",F15="OK",F16="OK"),"PASS","FAIL")</x:f>
        <x:v>PASS</x:v>
      </x:c>
      <x:c r="G17" s="237" t="str">
        <x:v>All required checks must be OK.</x:v>
      </x:c>
    </x:row>
  </x:sheetData>
  <x:mergeCells>
    <x:mergeCell ref="A1:G1"/>
    <x:mergeCell ref="A2:G2"/>
    <x:mergeCell ref="A17:E17"/>
  </x:mergeCells>
  <x:conditionalFormatting sqref="F5:F16">
    <x:cfRule type="expression" dxfId="0" priority="1">
      <x:formula>F5="OK"</x:formula>
    </x:cfRule>
    <x:cfRule type="expression" dxfId="1" priority="2">
      <x:formula>F5="CHECK"</x:formula>
    </x:cfRule>
  </x:conditionalFormatting>
  <x:conditionalFormatting sqref="F17:F17">
    <x:cfRule type="expression" dxfId="2" priority="3">
      <x:formula>F17="PASS"</x:formula>
    </x:cfRule>
    <x:cfRule type="expression" dxfId="3" priority="4">
      <x:formula>F17="FAIL"</x:formula>
    </x:cfRule>
  </x:conditionalFormatting>
  <x:pageMargins left="0.7" right="0.7" top="0.75" bottom="0.75" header="0.3" footer="0.3"/>
</x:worksheet>
</file>